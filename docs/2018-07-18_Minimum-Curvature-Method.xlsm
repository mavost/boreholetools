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75" windowWidth="15195" windowHeight="7935"/>
  </bookViews>
  <sheets>
    <sheet name="Minimum Curvature Method" sheetId="1" r:id="rId1"/>
    <sheet name="Adams-Data" sheetId="2" r:id="rId2"/>
    <sheet name="Sawaryn-Data" sheetId="4" r:id="rId3"/>
    <sheet name="SAWARYN-INTERPOLATION" sheetId="3" r:id="rId4"/>
    <sheet name="Example" sheetId="7" r:id="rId5"/>
  </sheets>
  <functionGroups builtInGroupCount="17"/>
  <calcPr calcId="145621"/>
</workbook>
</file>

<file path=xl/calcChain.xml><?xml version="1.0" encoding="utf-8"?>
<calcChain xmlns="http://schemas.openxmlformats.org/spreadsheetml/2006/main">
  <c r="I3" i="7" l="1"/>
  <c r="I4" i="7"/>
  <c r="I5" i="7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7" i="7"/>
  <c r="I38" i="7"/>
  <c r="I39" i="7"/>
  <c r="I40" i="7"/>
  <c r="I41" i="7"/>
  <c r="I42" i="7"/>
  <c r="I43" i="7"/>
  <c r="I44" i="7"/>
  <c r="I45" i="7"/>
  <c r="I46" i="7"/>
  <c r="I47" i="7"/>
  <c r="I48" i="7"/>
  <c r="I49" i="7"/>
  <c r="I50" i="7"/>
  <c r="I51" i="7"/>
  <c r="I52" i="7"/>
  <c r="I53" i="7"/>
  <c r="I54" i="7"/>
  <c r="I55" i="7"/>
  <c r="I56" i="7"/>
  <c r="I57" i="7"/>
  <c r="I58" i="7"/>
  <c r="I59" i="7"/>
  <c r="I60" i="7"/>
  <c r="I61" i="7"/>
  <c r="I62" i="7"/>
  <c r="I63" i="7"/>
  <c r="I64" i="7"/>
  <c r="I65" i="7"/>
  <c r="I66" i="7"/>
  <c r="I67" i="7"/>
  <c r="I68" i="7"/>
  <c r="I69" i="7"/>
  <c r="I70" i="7"/>
  <c r="I71" i="7"/>
  <c r="I72" i="7"/>
  <c r="I73" i="7"/>
  <c r="I74" i="7"/>
  <c r="I75" i="7"/>
  <c r="I76" i="7"/>
  <c r="I77" i="7"/>
  <c r="I78" i="7"/>
  <c r="I79" i="7"/>
  <c r="I80" i="7"/>
  <c r="I81" i="7"/>
  <c r="I82" i="7"/>
  <c r="I83" i="7"/>
  <c r="I84" i="7"/>
  <c r="I85" i="7"/>
  <c r="I86" i="7"/>
  <c r="I87" i="7"/>
  <c r="I88" i="7"/>
  <c r="I89" i="7"/>
  <c r="I90" i="7"/>
  <c r="I91" i="7"/>
  <c r="I92" i="7"/>
  <c r="I93" i="7"/>
  <c r="I94" i="7"/>
  <c r="I95" i="7"/>
  <c r="I96" i="7"/>
  <c r="I97" i="7"/>
  <c r="I98" i="7"/>
  <c r="I99" i="7"/>
  <c r="I100" i="7"/>
  <c r="I101" i="7"/>
  <c r="I102" i="7"/>
  <c r="I103" i="7"/>
  <c r="I104" i="7"/>
  <c r="I105" i="7"/>
  <c r="I106" i="7"/>
  <c r="I107" i="7"/>
  <c r="I108" i="7"/>
  <c r="I109" i="7"/>
  <c r="I110" i="7"/>
  <c r="I111" i="7"/>
  <c r="I112" i="7"/>
  <c r="I113" i="7"/>
  <c r="I114" i="7"/>
  <c r="I115" i="7"/>
  <c r="I116" i="7"/>
  <c r="I117" i="7"/>
  <c r="I118" i="7"/>
  <c r="I119" i="7"/>
  <c r="I120" i="7"/>
  <c r="I121" i="7"/>
  <c r="I122" i="7"/>
  <c r="I123" i="7"/>
  <c r="I124" i="7"/>
  <c r="I125" i="7"/>
  <c r="I126" i="7"/>
  <c r="I127" i="7"/>
  <c r="I128" i="7"/>
  <c r="I129" i="7"/>
  <c r="I130" i="7"/>
  <c r="I131" i="7"/>
  <c r="I132" i="7"/>
  <c r="I133" i="7"/>
  <c r="I134" i="7"/>
  <c r="I135" i="7"/>
  <c r="I136" i="7"/>
  <c r="I137" i="7"/>
  <c r="I138" i="7"/>
  <c r="I139" i="7"/>
  <c r="I140" i="7"/>
  <c r="I141" i="7"/>
  <c r="I142" i="7"/>
  <c r="I2" i="7"/>
  <c r="D3" i="7"/>
  <c r="D4" i="7"/>
  <c r="D5" i="7"/>
  <c r="D6" i="7"/>
  <c r="D7" i="7"/>
  <c r="D8" i="7"/>
  <c r="D9" i="7"/>
  <c r="D10" i="7"/>
  <c r="D11" i="7"/>
  <c r="D2" i="7"/>
  <c r="D11" i="1"/>
  <c r="D10" i="1"/>
  <c r="I4" i="4"/>
  <c r="I5" i="4"/>
  <c r="I6" i="4"/>
  <c r="I7" i="4"/>
  <c r="I8" i="4"/>
  <c r="I9" i="4"/>
  <c r="I10" i="4"/>
  <c r="I3" i="4"/>
  <c r="H4" i="4"/>
  <c r="H5" i="4"/>
  <c r="H9" i="4"/>
  <c r="H6" i="4"/>
  <c r="H10" i="4"/>
  <c r="H7" i="4"/>
  <c r="H8" i="4"/>
  <c r="H3" i="4"/>
  <c r="C41" i="3" l="1"/>
  <c r="C16" i="3"/>
  <c r="B16" i="3"/>
  <c r="C11" i="3"/>
  <c r="C4" i="3"/>
  <c r="I14" i="3"/>
  <c r="I7" i="3"/>
  <c r="C34" i="3"/>
  <c r="B34" i="3"/>
  <c r="C22" i="3"/>
  <c r="C18" i="3"/>
  <c r="K2" i="4" l="1"/>
  <c r="M2" i="4"/>
  <c r="L2" i="4"/>
  <c r="V3" i="2"/>
  <c r="Q3" i="2"/>
  <c r="S3" i="2" s="1"/>
  <c r="Q4" i="2"/>
  <c r="S4" i="2" s="1"/>
  <c r="Q5" i="2"/>
  <c r="S5" i="2" s="1"/>
  <c r="Q6" i="2"/>
  <c r="S6" i="2" s="1"/>
  <c r="Q7" i="2"/>
  <c r="S7" i="2" s="1"/>
  <c r="Q8" i="2"/>
  <c r="S8" i="2" s="1"/>
  <c r="Q9" i="2"/>
  <c r="S9" i="2" s="1"/>
  <c r="Q10" i="2"/>
  <c r="S10" i="2" s="1"/>
  <c r="Q2" i="2"/>
  <c r="S2" i="2" s="1"/>
  <c r="W4" i="2" s="1"/>
  <c r="W5" i="2" s="1"/>
  <c r="W6" i="2" s="1"/>
  <c r="B8" i="1"/>
  <c r="F3" i="4"/>
  <c r="F7" i="4"/>
  <c r="D8" i="1"/>
  <c r="F7" i="2"/>
  <c r="F8" i="2"/>
  <c r="F5" i="4"/>
  <c r="F10" i="4"/>
  <c r="F6" i="4"/>
  <c r="C13" i="3"/>
  <c r="F6" i="2"/>
  <c r="F12" i="2"/>
  <c r="F5" i="2"/>
  <c r="F8" i="4"/>
  <c r="G8" i="4" s="1"/>
  <c r="F4" i="4"/>
  <c r="C6" i="3"/>
  <c r="G5" i="4"/>
  <c r="J5" i="4"/>
  <c r="F10" i="2"/>
  <c r="C14" i="3"/>
  <c r="D9" i="1"/>
  <c r="F9" i="4"/>
  <c r="C7" i="3"/>
  <c r="F4" i="2"/>
  <c r="F9" i="2"/>
  <c r="G9" i="2" s="1"/>
  <c r="F11" i="2"/>
  <c r="I9" i="2"/>
  <c r="H9" i="2"/>
  <c r="J9" i="2"/>
  <c r="D14" i="1" l="1"/>
  <c r="R9" i="2"/>
  <c r="R5" i="2"/>
  <c r="W7" i="2"/>
  <c r="W8" i="2" s="1"/>
  <c r="W9" i="2" s="1"/>
  <c r="W10" i="2" s="1"/>
  <c r="W11" i="2" s="1"/>
  <c r="W12" i="2" s="1"/>
  <c r="W13" i="2" s="1"/>
  <c r="W14" i="2" s="1"/>
  <c r="W15" i="2" s="1"/>
  <c r="W16" i="2" s="1"/>
  <c r="W17" i="2" s="1"/>
  <c r="W18" i="2" s="1"/>
  <c r="W19" i="2" s="1"/>
  <c r="W20" i="2" s="1"/>
  <c r="W21" i="2" s="1"/>
  <c r="W22" i="2" s="1"/>
  <c r="W23" i="2" s="1"/>
  <c r="W24" i="2" s="1"/>
  <c r="W25" i="2" s="1"/>
  <c r="W26" i="2" s="1"/>
  <c r="W27" i="2" s="1"/>
  <c r="W28" i="2" s="1"/>
  <c r="W29" i="2" s="1"/>
  <c r="W30" i="2" s="1"/>
  <c r="W31" i="2" s="1"/>
  <c r="W32" i="2" s="1"/>
  <c r="W33" i="2" s="1"/>
  <c r="W34" i="2" s="1"/>
  <c r="W35" i="2" s="1"/>
  <c r="W36" i="2" s="1"/>
  <c r="W37" i="2" s="1"/>
  <c r="W38" i="2" s="1"/>
  <c r="W39" i="2" s="1"/>
  <c r="W40" i="2" s="1"/>
  <c r="W41" i="2" s="1"/>
  <c r="W42" i="2" s="1"/>
  <c r="W43" i="2" s="1"/>
  <c r="W44" i="2" s="1"/>
  <c r="W45" i="2" s="1"/>
  <c r="W46" i="2" s="1"/>
  <c r="W47" i="2" s="1"/>
  <c r="W48" i="2" s="1"/>
  <c r="W49" i="2" s="1"/>
  <c r="W50" i="2" s="1"/>
  <c r="W51" i="2" s="1"/>
  <c r="W52" i="2" s="1"/>
  <c r="W53" i="2" s="1"/>
  <c r="W54" i="2" s="1"/>
  <c r="W55" i="2" s="1"/>
  <c r="W56" i="2" s="1"/>
  <c r="W57" i="2" s="1"/>
  <c r="W58" i="2" s="1"/>
  <c r="W59" i="2" s="1"/>
  <c r="W60" i="2" s="1"/>
  <c r="W61" i="2" s="1"/>
  <c r="W62" i="2" s="1"/>
  <c r="W63" i="2" s="1"/>
  <c r="W64" i="2" s="1"/>
  <c r="W65" i="2" s="1"/>
  <c r="W66" i="2" s="1"/>
  <c r="W67" i="2" s="1"/>
  <c r="W68" i="2" s="1"/>
  <c r="W69" i="2" s="1"/>
  <c r="W70" i="2" s="1"/>
  <c r="W71" i="2" s="1"/>
  <c r="W72" i="2" s="1"/>
  <c r="W73" i="2" s="1"/>
  <c r="R8" i="2"/>
  <c r="R4" i="2"/>
  <c r="R2" i="2"/>
  <c r="V4" i="2" s="1"/>
  <c r="R7" i="2"/>
  <c r="R3" i="2"/>
  <c r="R10" i="2"/>
  <c r="R6" i="2"/>
  <c r="K3" i="4"/>
  <c r="L3" i="4"/>
  <c r="E7" i="3"/>
  <c r="E6" i="3"/>
  <c r="E5" i="3"/>
  <c r="E14" i="3"/>
  <c r="E13" i="3"/>
  <c r="E12" i="3"/>
  <c r="B9" i="1"/>
  <c r="G11" i="2"/>
  <c r="G8" i="2"/>
  <c r="G9" i="4"/>
  <c r="G4" i="4"/>
  <c r="G10" i="4"/>
  <c r="G5" i="2"/>
  <c r="X4" i="2"/>
  <c r="H5" i="2"/>
  <c r="G7" i="4"/>
  <c r="G12" i="2"/>
  <c r="G4" i="2"/>
  <c r="H4" i="2" s="1"/>
  <c r="J12" i="2"/>
  <c r="G10" i="2"/>
  <c r="G6" i="2"/>
  <c r="J5" i="2"/>
  <c r="J4" i="2"/>
  <c r="J8" i="4"/>
  <c r="G3" i="4"/>
  <c r="I12" i="2"/>
  <c r="C17" i="3"/>
  <c r="D12" i="1"/>
  <c r="G6" i="4"/>
  <c r="J6" i="4" s="1"/>
  <c r="J4" i="4"/>
  <c r="J9" i="4"/>
  <c r="G7" i="2"/>
  <c r="I5" i="2"/>
  <c r="H12" i="2"/>
  <c r="J7" i="2"/>
  <c r="I4" i="2"/>
  <c r="I6" i="2"/>
  <c r="H11" i="2"/>
  <c r="J11" i="2"/>
  <c r="I11" i="2"/>
  <c r="I8" i="2"/>
  <c r="H8" i="2"/>
  <c r="J8" i="2"/>
  <c r="H10" i="2"/>
  <c r="I10" i="2"/>
  <c r="J10" i="2"/>
  <c r="H6" i="2"/>
  <c r="J6" i="2"/>
  <c r="B19" i="3"/>
  <c r="B17" i="3"/>
  <c r="H7" i="2"/>
  <c r="I7" i="2"/>
  <c r="H14" i="3" l="1"/>
  <c r="H13" i="3"/>
  <c r="H12" i="3"/>
  <c r="C23" i="3"/>
  <c r="C24" i="3"/>
  <c r="B18" i="3"/>
  <c r="V5" i="2"/>
  <c r="L8" i="4"/>
  <c r="L10" i="4"/>
  <c r="L7" i="4"/>
  <c r="L6" i="4"/>
  <c r="L5" i="4"/>
  <c r="L9" i="4"/>
  <c r="L4" i="4"/>
  <c r="K7" i="4"/>
  <c r="K4" i="4"/>
  <c r="K10" i="4"/>
  <c r="K6" i="4"/>
  <c r="K5" i="4"/>
  <c r="K9" i="4"/>
  <c r="K8" i="4"/>
  <c r="K10" i="2"/>
  <c r="K8" i="2"/>
  <c r="K5" i="2"/>
  <c r="K6" i="2"/>
  <c r="K9" i="2"/>
  <c r="K7" i="2"/>
  <c r="K12" i="2"/>
  <c r="K4" i="2"/>
  <c r="K11" i="2"/>
  <c r="L6" i="2"/>
  <c r="L4" i="2"/>
  <c r="L7" i="2"/>
  <c r="L9" i="2"/>
  <c r="L12" i="2"/>
  <c r="L5" i="2"/>
  <c r="L8" i="2"/>
  <c r="L11" i="2"/>
  <c r="L10" i="2"/>
  <c r="M11" i="2"/>
  <c r="M8" i="2"/>
  <c r="M12" i="2"/>
  <c r="M9" i="2"/>
  <c r="M10" i="2"/>
  <c r="M6" i="2"/>
  <c r="M4" i="2"/>
  <c r="M5" i="2"/>
  <c r="M7" i="2"/>
  <c r="B10" i="1"/>
  <c r="B12" i="1"/>
  <c r="B11" i="1"/>
  <c r="C27" i="3"/>
  <c r="J3" i="4"/>
  <c r="J7" i="4"/>
  <c r="Y4" i="2"/>
  <c r="AA4" i="2" s="1"/>
  <c r="Z4" i="2"/>
  <c r="X5" i="2"/>
  <c r="AB4" i="2"/>
  <c r="C28" i="3"/>
  <c r="B25" i="3"/>
  <c r="J10" i="4"/>
  <c r="M3" i="4" l="1"/>
  <c r="M4" i="4"/>
  <c r="M6" i="4"/>
  <c r="M5" i="4"/>
  <c r="B31" i="3"/>
  <c r="AC4" i="2"/>
  <c r="AD4" i="2"/>
  <c r="AE4" i="2"/>
  <c r="V6" i="2"/>
  <c r="M8" i="4"/>
  <c r="M10" i="4"/>
  <c r="M9" i="4"/>
  <c r="M7" i="4"/>
  <c r="B30" i="3"/>
  <c r="C37" i="3" s="1"/>
  <c r="B32" i="3"/>
  <c r="Y5" i="2"/>
  <c r="X6" i="2"/>
  <c r="AA5" i="2"/>
  <c r="AB5" i="2"/>
  <c r="Z5" i="2"/>
  <c r="AC5" i="2" l="1"/>
  <c r="AE5" i="2"/>
  <c r="AD5" i="2"/>
  <c r="V7" i="2"/>
  <c r="C36" i="3"/>
  <c r="B40" i="3"/>
  <c r="Y6" i="2"/>
  <c r="Z6" i="2"/>
  <c r="X7" i="2"/>
  <c r="B37" i="3"/>
  <c r="AB6" i="2"/>
  <c r="B36" i="3"/>
  <c r="AA6" i="2"/>
  <c r="AC6" i="2" l="1"/>
  <c r="AD6" i="2"/>
  <c r="AE6" i="2"/>
  <c r="V8" i="2"/>
  <c r="B41" i="3"/>
  <c r="B39" i="3"/>
  <c r="X8" i="2"/>
  <c r="Y7" i="2"/>
  <c r="Z7" i="2"/>
  <c r="AA7" i="2"/>
  <c r="AB7" i="2"/>
  <c r="AE7" i="2" l="1"/>
  <c r="AD7" i="2"/>
  <c r="AC7" i="2"/>
  <c r="V9" i="2"/>
  <c r="X9" i="2"/>
  <c r="Y8" i="2"/>
  <c r="AA8" i="2"/>
  <c r="AB8" i="2"/>
  <c r="Z8" i="2"/>
  <c r="AC8" i="2" l="1"/>
  <c r="AE8" i="2"/>
  <c r="AD8" i="2"/>
  <c r="V10" i="2"/>
  <c r="Y9" i="2"/>
  <c r="AB9" i="2"/>
  <c r="AA9" i="2"/>
  <c r="Z9" i="2"/>
  <c r="X10" i="2"/>
  <c r="AC9" i="2" l="1"/>
  <c r="AD9" i="2"/>
  <c r="AE9" i="2"/>
  <c r="V11" i="2"/>
  <c r="Y10" i="2"/>
  <c r="X11" i="2"/>
  <c r="AB10" i="2"/>
  <c r="Z10" i="2"/>
  <c r="AA10" i="2"/>
  <c r="AD10" i="2" l="1"/>
  <c r="AC10" i="2"/>
  <c r="AE10" i="2"/>
  <c r="V12" i="2"/>
  <c r="X12" i="2"/>
  <c r="Y11" i="2"/>
  <c r="AB11" i="2"/>
  <c r="AA11" i="2"/>
  <c r="Z11" i="2"/>
  <c r="AC11" i="2" l="1"/>
  <c r="AD11" i="2"/>
  <c r="AE11" i="2"/>
  <c r="V13" i="2"/>
  <c r="Y12" i="2"/>
  <c r="AA12" i="2"/>
  <c r="X13" i="2"/>
  <c r="AB12" i="2"/>
  <c r="Z12" i="2"/>
  <c r="AC12" i="2" l="1"/>
  <c r="AD12" i="2"/>
  <c r="AE12" i="2"/>
  <c r="V14" i="2"/>
  <c r="X14" i="2"/>
  <c r="Y13" i="2"/>
  <c r="AB13" i="2"/>
  <c r="AA13" i="2"/>
  <c r="Z13" i="2"/>
  <c r="AC13" i="2" l="1"/>
  <c r="AD13" i="2"/>
  <c r="AE13" i="2"/>
  <c r="V15" i="2"/>
  <c r="X15" i="2"/>
  <c r="Y14" i="2"/>
  <c r="AA14" i="2"/>
  <c r="AB14" i="2"/>
  <c r="Z14" i="2"/>
  <c r="AC14" i="2" l="1"/>
  <c r="AE14" i="2"/>
  <c r="AD14" i="2"/>
  <c r="V16" i="2"/>
  <c r="Y15" i="2"/>
  <c r="Z15" i="2"/>
  <c r="X16" i="2"/>
  <c r="AB15" i="2"/>
  <c r="AA15" i="2"/>
  <c r="AC15" i="2" l="1"/>
  <c r="AD15" i="2"/>
  <c r="AE15" i="2"/>
  <c r="V17" i="2"/>
  <c r="Y16" i="2"/>
  <c r="X17" i="2"/>
  <c r="AA16" i="2"/>
  <c r="Z16" i="2"/>
  <c r="AB16" i="2"/>
  <c r="AE16" i="2" l="1"/>
  <c r="AC16" i="2"/>
  <c r="AD16" i="2"/>
  <c r="V18" i="2"/>
  <c r="X18" i="2"/>
  <c r="Y17" i="2"/>
  <c r="Z17" i="2"/>
  <c r="AA17" i="2"/>
  <c r="AB17" i="2"/>
  <c r="AE17" i="2" l="1"/>
  <c r="AD17" i="2"/>
  <c r="AC17" i="2"/>
  <c r="V19" i="2"/>
  <c r="X19" i="2"/>
  <c r="Y18" i="2"/>
  <c r="AA18" i="2"/>
  <c r="AB18" i="2"/>
  <c r="Z18" i="2"/>
  <c r="AC18" i="2" l="1"/>
  <c r="AD18" i="2"/>
  <c r="AE18" i="2"/>
  <c r="V20" i="2"/>
  <c r="Y19" i="2"/>
  <c r="X20" i="2"/>
  <c r="AA19" i="2"/>
  <c r="Z19" i="2"/>
  <c r="AB19" i="2"/>
  <c r="AE19" i="2" l="1"/>
  <c r="AC19" i="2"/>
  <c r="AD19" i="2"/>
  <c r="V21" i="2"/>
  <c r="X21" i="2"/>
  <c r="Y20" i="2"/>
  <c r="AB20" i="2"/>
  <c r="Z20" i="2"/>
  <c r="AA20" i="2"/>
  <c r="AD20" i="2" l="1"/>
  <c r="AC20" i="2"/>
  <c r="AE20" i="2"/>
  <c r="V22" i="2"/>
  <c r="X22" i="2"/>
  <c r="Y21" i="2"/>
  <c r="AA21" i="2" s="1"/>
  <c r="Z21" i="2"/>
  <c r="AB21" i="2"/>
  <c r="AC21" i="2" l="1"/>
  <c r="AD21" i="2"/>
  <c r="AE21" i="2"/>
  <c r="V23" i="2"/>
  <c r="Y22" i="2"/>
  <c r="X23" i="2"/>
  <c r="AA22" i="2"/>
  <c r="AB22" i="2"/>
  <c r="Z22" i="2"/>
  <c r="AC22" i="2" l="1"/>
  <c r="AE22" i="2"/>
  <c r="AD22" i="2"/>
  <c r="V24" i="2"/>
  <c r="X24" i="2"/>
  <c r="Y23" i="2"/>
  <c r="Z23" i="2"/>
  <c r="AA23" i="2"/>
  <c r="AB23" i="2"/>
  <c r="AE23" i="2" l="1"/>
  <c r="AD23" i="2"/>
  <c r="AC23" i="2"/>
  <c r="V25" i="2"/>
  <c r="X25" i="2"/>
  <c r="Y24" i="2"/>
  <c r="Z24" i="2"/>
  <c r="AA24" i="2"/>
  <c r="AB24" i="2"/>
  <c r="AE24" i="2" l="1"/>
  <c r="AD24" i="2"/>
  <c r="AC24" i="2"/>
  <c r="V26" i="2"/>
  <c r="X26" i="2"/>
  <c r="Y25" i="2"/>
  <c r="Z25" i="2"/>
  <c r="AA25" i="2"/>
  <c r="AB25" i="2"/>
  <c r="AC25" i="2" l="1"/>
  <c r="AD25" i="2"/>
  <c r="AE25" i="2"/>
  <c r="V27" i="2"/>
  <c r="Y26" i="2"/>
  <c r="X27" i="2"/>
  <c r="Z26" i="2"/>
  <c r="AA26" i="2"/>
  <c r="AB26" i="2"/>
  <c r="AE26" i="2" l="1"/>
  <c r="AD26" i="2"/>
  <c r="AC26" i="2"/>
  <c r="V28" i="2"/>
  <c r="X28" i="2"/>
  <c r="Y27" i="2"/>
  <c r="AB27" i="2"/>
  <c r="Z27" i="2"/>
  <c r="AA27" i="2"/>
  <c r="AD27" i="2" l="1"/>
  <c r="AC27" i="2"/>
  <c r="AE27" i="2"/>
  <c r="V29" i="2"/>
  <c r="X29" i="2"/>
  <c r="Y28" i="2"/>
  <c r="AB28" i="2"/>
  <c r="Z28" i="2"/>
  <c r="AA28" i="2"/>
  <c r="AC28" i="2" l="1"/>
  <c r="AD28" i="2"/>
  <c r="AE28" i="2"/>
  <c r="V30" i="2"/>
  <c r="X30" i="2"/>
  <c r="Y29" i="2"/>
  <c r="AB29" i="2"/>
  <c r="AA29" i="2"/>
  <c r="Z29" i="2"/>
  <c r="AC29" i="2" l="1"/>
  <c r="AD29" i="2"/>
  <c r="AE29" i="2"/>
  <c r="V31" i="2"/>
  <c r="Y30" i="2"/>
  <c r="X31" i="2"/>
  <c r="AA30" i="2"/>
  <c r="Z30" i="2"/>
  <c r="AB30" i="2"/>
  <c r="AE30" i="2" l="1"/>
  <c r="AC30" i="2"/>
  <c r="AD30" i="2"/>
  <c r="V32" i="2"/>
  <c r="Y31" i="2"/>
  <c r="Z31" i="2"/>
  <c r="X32" i="2"/>
  <c r="AA31" i="2"/>
  <c r="AB31" i="2"/>
  <c r="AC31" i="2" l="1"/>
  <c r="AD31" i="2"/>
  <c r="AE31" i="2"/>
  <c r="V33" i="2"/>
  <c r="Y32" i="2"/>
  <c r="X33" i="2"/>
  <c r="Z32" i="2"/>
  <c r="AA32" i="2"/>
  <c r="AB32" i="2"/>
  <c r="AE32" i="2" l="1"/>
  <c r="AD32" i="2"/>
  <c r="AC32" i="2"/>
  <c r="V34" i="2"/>
  <c r="Y33" i="2"/>
  <c r="X34" i="2"/>
  <c r="Z33" i="2"/>
  <c r="AA33" i="2"/>
  <c r="AB33" i="2"/>
  <c r="AE33" i="2" l="1"/>
  <c r="AD33" i="2"/>
  <c r="AC33" i="2"/>
  <c r="V35" i="2"/>
  <c r="X35" i="2"/>
  <c r="Y34" i="2"/>
  <c r="AA34" i="2"/>
  <c r="AB34" i="2"/>
  <c r="Z34" i="2"/>
  <c r="AC34" i="2" l="1"/>
  <c r="AD34" i="2"/>
  <c r="AE34" i="2"/>
  <c r="V36" i="2"/>
  <c r="Y35" i="2"/>
  <c r="X36" i="2"/>
  <c r="AA35" i="2"/>
  <c r="Z35" i="2"/>
  <c r="AB35" i="2"/>
  <c r="AE35" i="2" l="1"/>
  <c r="AC35" i="2"/>
  <c r="AD35" i="2"/>
  <c r="V37" i="2"/>
  <c r="Y36" i="2"/>
  <c r="AB36" i="2"/>
  <c r="X37" i="2"/>
  <c r="Z36" i="2"/>
  <c r="AA36" i="2"/>
  <c r="AD36" i="2" l="1"/>
  <c r="AC36" i="2"/>
  <c r="AE36" i="2"/>
  <c r="V38" i="2"/>
  <c r="X38" i="2"/>
  <c r="Y37" i="2"/>
  <c r="Z37" i="2"/>
  <c r="AA37" i="2"/>
  <c r="AB37" i="2"/>
  <c r="AE37" i="2" l="1"/>
  <c r="AD37" i="2"/>
  <c r="AC37" i="2"/>
  <c r="V39" i="2"/>
  <c r="Y38" i="2"/>
  <c r="Z38" i="2"/>
  <c r="X39" i="2"/>
  <c r="AA38" i="2"/>
  <c r="AB38" i="2"/>
  <c r="AC38" i="2" l="1"/>
  <c r="AD38" i="2"/>
  <c r="AE38" i="2"/>
  <c r="V40" i="2"/>
  <c r="Y39" i="2"/>
  <c r="X40" i="2"/>
  <c r="Z39" i="2"/>
  <c r="AA39" i="2"/>
  <c r="AB39" i="2"/>
  <c r="AE39" i="2" l="1"/>
  <c r="AD39" i="2"/>
  <c r="AC39" i="2"/>
  <c r="V41" i="2"/>
  <c r="X41" i="2"/>
  <c r="Y40" i="2"/>
  <c r="Z40" i="2"/>
  <c r="AA40" i="2"/>
  <c r="AB40" i="2"/>
  <c r="AE40" i="2" l="1"/>
  <c r="AD40" i="2"/>
  <c r="AC40" i="2"/>
  <c r="V42" i="2"/>
  <c r="Y41" i="2"/>
  <c r="Z41" i="2"/>
  <c r="AA41" i="2"/>
  <c r="X42" i="2"/>
  <c r="AB41" i="2"/>
  <c r="AC41" i="2" l="1"/>
  <c r="AD41" i="2"/>
  <c r="AE41" i="2"/>
  <c r="V43" i="2"/>
  <c r="Y42" i="2"/>
  <c r="X43" i="2"/>
  <c r="AA42" i="2"/>
  <c r="Z42" i="2"/>
  <c r="AB42" i="2"/>
  <c r="AE42" i="2" l="1"/>
  <c r="AC42" i="2"/>
  <c r="AD42" i="2"/>
  <c r="V44" i="2"/>
  <c r="Y43" i="2"/>
  <c r="Z43" i="2"/>
  <c r="X44" i="2"/>
  <c r="AA43" i="2"/>
  <c r="AB43" i="2"/>
  <c r="AC43" i="2" l="1"/>
  <c r="AD43" i="2"/>
  <c r="AE43" i="2"/>
  <c r="V45" i="2"/>
  <c r="X45" i="2"/>
  <c r="Y44" i="2"/>
  <c r="AA44" i="2"/>
  <c r="Z44" i="2"/>
  <c r="AB44" i="2"/>
  <c r="AC44" i="2" l="1"/>
  <c r="AD44" i="2"/>
  <c r="AE44" i="2"/>
  <c r="V46" i="2"/>
  <c r="Y45" i="2"/>
  <c r="X46" i="2"/>
  <c r="Z45" i="2"/>
  <c r="AA45" i="2"/>
  <c r="AB45" i="2"/>
  <c r="AE45" i="2" l="1"/>
  <c r="AD45" i="2"/>
  <c r="AC45" i="2"/>
  <c r="V47" i="2"/>
  <c r="X47" i="2"/>
  <c r="Y46" i="2"/>
  <c r="AA46" i="2"/>
  <c r="AB46" i="2"/>
  <c r="Z46" i="2"/>
  <c r="AC46" i="2" l="1"/>
  <c r="AE46" i="2"/>
  <c r="AD46" i="2"/>
  <c r="V48" i="2"/>
  <c r="Y47" i="2"/>
  <c r="Z47" i="2"/>
  <c r="X48" i="2"/>
  <c r="AB47" i="2"/>
  <c r="AA47" i="2"/>
  <c r="AC47" i="2" l="1"/>
  <c r="AD47" i="2"/>
  <c r="AE47" i="2"/>
  <c r="V49" i="2"/>
  <c r="Y48" i="2"/>
  <c r="X49" i="2"/>
  <c r="AB48" i="2"/>
  <c r="Z48" i="2"/>
  <c r="AA48" i="2"/>
  <c r="AD48" i="2" l="1"/>
  <c r="AC48" i="2"/>
  <c r="AE48" i="2"/>
  <c r="V50" i="2"/>
  <c r="X50" i="2"/>
  <c r="Y49" i="2"/>
  <c r="AB49" i="2"/>
  <c r="Z49" i="2"/>
  <c r="AA49" i="2"/>
  <c r="AD49" i="2" l="1"/>
  <c r="AC49" i="2"/>
  <c r="AE49" i="2"/>
  <c r="V51" i="2"/>
  <c r="X51" i="2"/>
  <c r="Y50" i="2"/>
  <c r="AB50" i="2"/>
  <c r="AA50" i="2"/>
  <c r="Z50" i="2"/>
  <c r="AC50" i="2" l="1"/>
  <c r="AD50" i="2"/>
  <c r="AE50" i="2"/>
  <c r="V52" i="2"/>
  <c r="Y51" i="2"/>
  <c r="X52" i="2"/>
  <c r="AB51" i="2"/>
  <c r="AA51" i="2"/>
  <c r="Z51" i="2"/>
  <c r="AC51" i="2" l="1"/>
  <c r="AD51" i="2"/>
  <c r="AE51" i="2"/>
  <c r="V53" i="2"/>
  <c r="Y52" i="2"/>
  <c r="X53" i="2"/>
  <c r="AB52" i="2"/>
  <c r="Z52" i="2"/>
  <c r="AA52" i="2"/>
  <c r="AD52" i="2" l="1"/>
  <c r="AC52" i="2"/>
  <c r="AE52" i="2"/>
  <c r="V54" i="2"/>
  <c r="Y53" i="2"/>
  <c r="X54" i="2"/>
  <c r="Z53" i="2"/>
  <c r="AA53" i="2"/>
  <c r="AB53" i="2"/>
  <c r="AE53" i="2" l="1"/>
  <c r="AD53" i="2"/>
  <c r="AC53" i="2"/>
  <c r="V55" i="2"/>
  <c r="X55" i="2"/>
  <c r="Y54" i="2"/>
  <c r="Z54" i="2"/>
  <c r="AA54" i="2"/>
  <c r="AB54" i="2"/>
  <c r="AE54" i="2" l="1"/>
  <c r="AD54" i="2"/>
  <c r="AC54" i="2"/>
  <c r="V56" i="2"/>
  <c r="Y55" i="2"/>
  <c r="X56" i="2"/>
  <c r="Z55" i="2"/>
  <c r="AA55" i="2"/>
  <c r="AB55" i="2"/>
  <c r="AE55" i="2" l="1"/>
  <c r="AD55" i="2"/>
  <c r="AC55" i="2"/>
  <c r="V57" i="2"/>
  <c r="X57" i="2"/>
  <c r="Y56" i="2"/>
  <c r="Z56" i="2"/>
  <c r="AA56" i="2"/>
  <c r="AB56" i="2"/>
  <c r="AE56" i="2" l="1"/>
  <c r="AD56" i="2"/>
  <c r="AC56" i="2"/>
  <c r="V58" i="2"/>
  <c r="X58" i="2"/>
  <c r="Y57" i="2"/>
  <c r="AB57" i="2" s="1"/>
  <c r="AA57" i="2"/>
  <c r="Z57" i="2"/>
  <c r="AC57" i="2" l="1"/>
  <c r="AD57" i="2"/>
  <c r="AE57" i="2"/>
  <c r="V59" i="2"/>
  <c r="Y58" i="2"/>
  <c r="X59" i="2"/>
  <c r="Z58" i="2"/>
  <c r="AA58" i="2"/>
  <c r="AB58" i="2"/>
  <c r="AE58" i="2" l="1"/>
  <c r="AD58" i="2"/>
  <c r="AC58" i="2"/>
  <c r="V60" i="2"/>
  <c r="X60" i="2"/>
  <c r="Y59" i="2"/>
  <c r="Z59" i="2"/>
  <c r="AA59" i="2"/>
  <c r="AB59" i="2"/>
  <c r="AE59" i="2" l="1"/>
  <c r="AD59" i="2"/>
  <c r="AC59" i="2"/>
  <c r="V61" i="2"/>
  <c r="Y60" i="2"/>
  <c r="Z60" i="2"/>
  <c r="AA60" i="2"/>
  <c r="X61" i="2"/>
  <c r="AB60" i="2"/>
  <c r="AC60" i="2" l="1"/>
  <c r="AD60" i="2"/>
  <c r="AE60" i="2"/>
  <c r="V62" i="2"/>
  <c r="X62" i="2"/>
  <c r="Y61" i="2"/>
  <c r="Z61" i="2"/>
  <c r="AA61" i="2"/>
  <c r="AB61" i="2"/>
  <c r="AC61" i="2" l="1"/>
  <c r="AD61" i="2"/>
  <c r="AE61" i="2"/>
  <c r="V63" i="2"/>
  <c r="Y62" i="2"/>
  <c r="X63" i="2"/>
  <c r="AA62" i="2"/>
  <c r="AB62" i="2"/>
  <c r="Z62" i="2"/>
  <c r="AC62" i="2" l="1"/>
  <c r="AE62" i="2"/>
  <c r="AD62" i="2"/>
  <c r="V64" i="2"/>
  <c r="X64" i="2"/>
  <c r="Y63" i="2"/>
  <c r="AB63" i="2"/>
  <c r="AA63" i="2"/>
  <c r="Z63" i="2"/>
  <c r="AC63" i="2" l="1"/>
  <c r="AD63" i="2"/>
  <c r="AE63" i="2"/>
  <c r="V65" i="2"/>
  <c r="Y64" i="2"/>
  <c r="X65" i="2"/>
  <c r="AB64" i="2"/>
  <c r="AA64" i="2"/>
  <c r="Z64" i="2"/>
  <c r="AC64" i="2" l="1"/>
  <c r="AD64" i="2"/>
  <c r="AE64" i="2"/>
  <c r="V66" i="2"/>
  <c r="Y65" i="2"/>
  <c r="X66" i="2"/>
  <c r="Z65" i="2"/>
  <c r="AA65" i="2"/>
  <c r="AB65" i="2"/>
  <c r="AE65" i="2" l="1"/>
  <c r="AD65" i="2"/>
  <c r="AC65" i="2"/>
  <c r="V67" i="2"/>
  <c r="Y66" i="2"/>
  <c r="Z66" i="2"/>
  <c r="X67" i="2"/>
  <c r="AB66" i="2"/>
  <c r="AA66" i="2"/>
  <c r="AC66" i="2" l="1"/>
  <c r="AD66" i="2"/>
  <c r="AE66" i="2"/>
  <c r="V68" i="2"/>
  <c r="Y67" i="2"/>
  <c r="X68" i="2"/>
  <c r="Z67" i="2"/>
  <c r="AA67" i="2"/>
  <c r="AB67" i="2"/>
  <c r="AE67" i="2" l="1"/>
  <c r="AD67" i="2"/>
  <c r="AC67" i="2"/>
  <c r="V69" i="2"/>
  <c r="X69" i="2"/>
  <c r="Y68" i="2"/>
  <c r="AB68" i="2"/>
  <c r="Z68" i="2"/>
  <c r="AA68" i="2"/>
  <c r="AD68" i="2" l="1"/>
  <c r="AC68" i="2"/>
  <c r="AE68" i="2"/>
  <c r="V70" i="2"/>
  <c r="X70" i="2"/>
  <c r="Y69" i="2"/>
  <c r="AB69" i="2"/>
  <c r="Z69" i="2"/>
  <c r="AA69" i="2"/>
  <c r="AD69" i="2" l="1"/>
  <c r="AC69" i="2"/>
  <c r="AE69" i="2"/>
  <c r="V71" i="2"/>
  <c r="Y70" i="2"/>
  <c r="Z70" i="2"/>
  <c r="X71" i="2"/>
  <c r="AB70" i="2"/>
  <c r="AA70" i="2"/>
  <c r="AC70" i="2" l="1"/>
  <c r="AD70" i="2"/>
  <c r="AE70" i="2"/>
  <c r="V72" i="2"/>
  <c r="Y71" i="2"/>
  <c r="AB71" i="2"/>
  <c r="X72" i="2"/>
  <c r="Z71" i="2"/>
  <c r="AA71" i="2"/>
  <c r="AD71" i="2" l="1"/>
  <c r="AC71" i="2"/>
  <c r="AE71" i="2"/>
  <c r="V73" i="2"/>
  <c r="Y72" i="2"/>
  <c r="X73" i="2"/>
  <c r="Z72" i="2"/>
  <c r="AA72" i="2"/>
  <c r="AB72" i="2"/>
  <c r="AE72" i="2" l="1"/>
  <c r="AD72" i="2"/>
  <c r="AC72" i="2"/>
  <c r="Y73" i="2"/>
  <c r="Z73" i="2"/>
  <c r="AA73" i="2"/>
  <c r="AB73" i="2"/>
  <c r="AE73" i="2" l="1"/>
  <c r="AD73" i="2"/>
  <c r="AC73" i="2"/>
</calcChain>
</file>

<file path=xl/comments1.xml><?xml version="1.0" encoding="utf-8"?>
<comments xmlns="http://schemas.openxmlformats.org/spreadsheetml/2006/main">
  <authors>
    <author>toe</author>
  </authors>
  <commentList>
    <comment ref="P2" authorId="0">
      <text>
        <r>
          <rPr>
            <b/>
            <sz val="8"/>
            <color indexed="81"/>
            <rFont val="Tahoma"/>
            <family val="2"/>
          </rPr>
          <t>toe:</t>
        </r>
        <r>
          <rPr>
            <sz val="8"/>
            <color indexed="81"/>
            <rFont val="Tahoma"/>
            <family val="2"/>
          </rPr>
          <t xml:space="preserve">
suboptimal realization</t>
        </r>
      </text>
    </comment>
  </commentList>
</comments>
</file>

<file path=xl/comments2.xml><?xml version="1.0" encoding="utf-8"?>
<comments xmlns="http://schemas.openxmlformats.org/spreadsheetml/2006/main">
  <authors>
    <author>toe</author>
  </authors>
  <commentList>
    <comment ref="C17" authorId="0">
      <text>
        <r>
          <rPr>
            <b/>
            <sz val="8"/>
            <color indexed="81"/>
            <rFont val="Tahoma"/>
            <family val="2"/>
          </rPr>
          <t>toe:</t>
        </r>
        <r>
          <rPr>
            <sz val="8"/>
            <color indexed="81"/>
            <rFont val="Tahoma"/>
            <family val="2"/>
          </rPr>
          <t xml:space="preserve">
formulas collapse for perfectly straight survey points (alpha &lt; .02 or alpha = 0) such that additional corrective terms are introduced in the code</t>
        </r>
      </text>
    </comment>
  </commentList>
</comments>
</file>

<file path=xl/sharedStrings.xml><?xml version="1.0" encoding="utf-8"?>
<sst xmlns="http://schemas.openxmlformats.org/spreadsheetml/2006/main" count="149" uniqueCount="84">
  <si>
    <t>Input cells</t>
  </si>
  <si>
    <t>calculated cells</t>
  </si>
  <si>
    <t>Survey1</t>
  </si>
  <si>
    <t>Survey2</t>
  </si>
  <si>
    <t>Minimum Curvature Method</t>
  </si>
  <si>
    <t>Ref</t>
  </si>
  <si>
    <t>http://www.drillingformulas.com/minimum-curvature-method/</t>
  </si>
  <si>
    <t>m</t>
  </si>
  <si>
    <t>Vertical - DZ</t>
  </si>
  <si>
    <t>Measured Depth (m)</t>
  </si>
  <si>
    <t>Inclination from horizontal (deg)</t>
  </si>
  <si>
    <t>Azimuth from North (deg)</t>
  </si>
  <si>
    <t>rad</t>
  </si>
  <si>
    <t>Ratio Factor (RF)</t>
  </si>
  <si>
    <t>deg</t>
  </si>
  <si>
    <t>VBA functions</t>
  </si>
  <si>
    <t>EXCEL functions</t>
  </si>
  <si>
    <t>MD</t>
  </si>
  <si>
    <t>Survey</t>
  </si>
  <si>
    <t>Incl</t>
  </si>
  <si>
    <t>Azim</t>
  </si>
  <si>
    <t>from Adams (1985)</t>
  </si>
  <si>
    <t>DLS</t>
  </si>
  <si>
    <t>RF</t>
  </si>
  <si>
    <t>DZ</t>
  </si>
  <si>
    <t>N</t>
  </si>
  <si>
    <t>E</t>
  </si>
  <si>
    <t>TVD</t>
  </si>
  <si>
    <t>Interval</t>
  </si>
  <si>
    <t>DMD</t>
  </si>
  <si>
    <t>DINCL</t>
  </si>
  <si>
    <t>DAZIM</t>
  </si>
  <si>
    <t>Dogleg-Angle (DLA) - beta</t>
  </si>
  <si>
    <t>Dogleg-Severity (deg/30m)</t>
  </si>
  <si>
    <t>DLA</t>
  </si>
  <si>
    <t>from Sawaryn</t>
  </si>
  <si>
    <t>2a</t>
  </si>
  <si>
    <t>3</t>
  </si>
  <si>
    <t>3a</t>
  </si>
  <si>
    <t>3b</t>
  </si>
  <si>
    <t>3c</t>
  </si>
  <si>
    <t>4</t>
  </si>
  <si>
    <t>A</t>
  </si>
  <si>
    <t>B</t>
  </si>
  <si>
    <t>Point 1</t>
  </si>
  <si>
    <t>Point 2</t>
  </si>
  <si>
    <t>Grad</t>
  </si>
  <si>
    <t>Rad</t>
  </si>
  <si>
    <t>Units:</t>
  </si>
  <si>
    <t>ft</t>
  </si>
  <si>
    <t>Subtended angle alpha</t>
  </si>
  <si>
    <t>Dogleg severity</t>
  </si>
  <si>
    <t>Subtended angle alpha*</t>
  </si>
  <si>
    <t>alpha - alpha*</t>
  </si>
  <si>
    <t>t_E</t>
  </si>
  <si>
    <t>t_V</t>
  </si>
  <si>
    <t>t_N</t>
  </si>
  <si>
    <t>t_N*</t>
  </si>
  <si>
    <t>t_E*</t>
  </si>
  <si>
    <t>t_V*</t>
  </si>
  <si>
    <t>Interpolation depth MD*</t>
  </si>
  <si>
    <t>MD*</t>
  </si>
  <si>
    <t>Shape factor f*</t>
  </si>
  <si>
    <t>Shape factor f</t>
  </si>
  <si>
    <t>Delta MD</t>
  </si>
  <si>
    <t>Tangential Vector</t>
  </si>
  <si>
    <t>Interpoint Tangential Vector</t>
  </si>
  <si>
    <t>Interpoint Angle Parameters</t>
  </si>
  <si>
    <t>Cartesian Vector</t>
  </si>
  <si>
    <t>Incl Theta</t>
  </si>
  <si>
    <t>Azim Phi</t>
  </si>
  <si>
    <t>Incl Theta*</t>
  </si>
  <si>
    <t>Azim Phi*</t>
  </si>
  <si>
    <t>Interpolation</t>
  </si>
  <si>
    <t>Test</t>
  </si>
  <si>
    <t>DN</t>
  </si>
  <si>
    <t>DE</t>
  </si>
  <si>
    <t>Northing - DN</t>
  </si>
  <si>
    <t>Easting - DE</t>
  </si>
  <si>
    <t>scaler</t>
  </si>
  <si>
    <t>X(E) [m]</t>
  </si>
  <si>
    <t>Y(N) [m]</t>
  </si>
  <si>
    <t>Z(TVD) [ft]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</si>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</sst>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00"/>
    <numFmt numFmtId="165" formatCode="0.0000"/>
    <numFmt numFmtId="166" formatCode="0.000000"/>
    <numFmt numFmtId="167" formatCode="0.000000000000000000000"/>
  </numFmts>
  <fonts count="25" x14ac:knownFonts="1">
    <font>
      <sz val="10"/>
      <name val="Arial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name val="Arial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8"/>
      <name val="Arial"/>
      <family val="2"/>
    </font>
    <font>
      <b/>
      <sz val="10"/>
      <name val="Arial"/>
      <family val="2"/>
    </font>
    <font>
      <b/>
      <sz val="10"/>
      <color indexed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</fonts>
  <fills count="26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</fills>
  <borders count="1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5" borderId="0" applyNumberFormat="0" applyBorder="0" applyAlignment="0" applyProtection="0"/>
    <xf numFmtId="0" fontId="1" fillId="8" borderId="0" applyNumberFormat="0" applyBorder="0" applyAlignment="0" applyProtection="0"/>
    <xf numFmtId="0" fontId="1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9" borderId="0" applyNumberFormat="0" applyBorder="0" applyAlignment="0" applyProtection="0"/>
    <xf numFmtId="0" fontId="3" fillId="3" borderId="0" applyNumberFormat="0" applyBorder="0" applyAlignment="0" applyProtection="0"/>
    <xf numFmtId="0" fontId="4" fillId="20" borderId="1" applyNumberFormat="0" applyAlignment="0" applyProtection="0"/>
    <xf numFmtId="0" fontId="5" fillId="21" borderId="2" applyNumberFormat="0" applyAlignment="0" applyProtection="0"/>
    <xf numFmtId="0" fontId="6" fillId="0" borderId="0" applyNumberFormat="0" applyFill="0" applyBorder="0" applyAlignment="0" applyProtection="0"/>
    <xf numFmtId="0" fontId="7" fillId="4" borderId="0" applyNumberFormat="0" applyBorder="0" applyAlignment="0" applyProtection="0"/>
    <xf numFmtId="0" fontId="8" fillId="0" borderId="3" applyNumberFormat="0" applyFill="0" applyAlignment="0" applyProtection="0"/>
    <xf numFmtId="0" fontId="9" fillId="0" borderId="4" applyNumberFormat="0" applyFill="0" applyAlignment="0" applyProtection="0"/>
    <xf numFmtId="0" fontId="10" fillId="0" borderId="5" applyNumberFormat="0" applyFill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>
      <alignment vertical="top"/>
      <protection locked="0"/>
    </xf>
    <xf numFmtId="0" fontId="12" fillId="7" borderId="1" applyNumberFormat="0" applyAlignment="0" applyProtection="0"/>
    <xf numFmtId="0" fontId="13" fillId="0" borderId="6" applyNumberFormat="0" applyFill="0" applyAlignment="0" applyProtection="0"/>
    <xf numFmtId="0" fontId="14" fillId="22" borderId="0" applyNumberFormat="0" applyBorder="0" applyAlignment="0" applyProtection="0"/>
    <xf numFmtId="0" fontId="15" fillId="23" borderId="7" applyNumberFormat="0" applyFont="0" applyAlignment="0" applyProtection="0"/>
    <xf numFmtId="0" fontId="16" fillId="20" borderId="8" applyNumberFormat="0" applyAlignment="0" applyProtection="0"/>
    <xf numFmtId="0" fontId="17" fillId="0" borderId="0" applyNumberFormat="0" applyFill="0" applyBorder="0" applyAlignment="0" applyProtection="0"/>
    <xf numFmtId="0" fontId="18" fillId="0" borderId="9" applyNumberFormat="0" applyFill="0" applyAlignment="0" applyProtection="0"/>
    <xf numFmtId="0" fontId="19" fillId="0" borderId="0" applyNumberFormat="0" applyFill="0" applyBorder="0" applyAlignment="0" applyProtection="0"/>
  </cellStyleXfs>
  <cellXfs count="26">
    <xf numFmtId="0" fontId="0" fillId="0" borderId="0" xfId="0"/>
    <xf numFmtId="0" fontId="21" fillId="0" borderId="0" xfId="0" applyFont="1"/>
    <xf numFmtId="0" fontId="0" fillId="24" borderId="0" xfId="0" applyFill="1"/>
    <xf numFmtId="0" fontId="0" fillId="25" borderId="0" xfId="0" applyFill="1"/>
    <xf numFmtId="0" fontId="0" fillId="0" borderId="0" xfId="0" applyFill="1" applyBorder="1"/>
    <xf numFmtId="2" fontId="0" fillId="25" borderId="0" xfId="0" applyNumberFormat="1" applyFill="1"/>
    <xf numFmtId="0" fontId="15" fillId="0" borderId="0" xfId="0" applyFont="1"/>
    <xf numFmtId="164" fontId="0" fillId="0" borderId="0" xfId="0" applyNumberFormat="1"/>
    <xf numFmtId="0" fontId="0" fillId="24" borderId="10" xfId="0" applyFill="1" applyBorder="1" applyProtection="1">
      <protection locked="0"/>
    </xf>
    <xf numFmtId="0" fontId="22" fillId="0" borderId="0" xfId="34" applyFont="1" applyAlignment="1" applyProtection="1"/>
    <xf numFmtId="0" fontId="11" fillId="0" borderId="0" xfId="34" applyAlignment="1" applyProtection="1">
      <protection locked="0"/>
    </xf>
    <xf numFmtId="0" fontId="15" fillId="0" borderId="0" xfId="0" applyFont="1" applyFill="1" applyBorder="1"/>
    <xf numFmtId="164" fontId="15" fillId="0" borderId="0" xfId="0" applyNumberFormat="1" applyFont="1"/>
    <xf numFmtId="2" fontId="0" fillId="0" borderId="0" xfId="0" applyNumberFormat="1"/>
    <xf numFmtId="49" fontId="0" fillId="0" borderId="0" xfId="0" applyNumberFormat="1"/>
    <xf numFmtId="49" fontId="15" fillId="0" borderId="0" xfId="0" applyNumberFormat="1" applyFont="1"/>
    <xf numFmtId="2" fontId="15" fillId="0" borderId="0" xfId="0" applyNumberFormat="1" applyFont="1"/>
    <xf numFmtId="2" fontId="7" fillId="4" borderId="0" xfId="29" applyNumberFormat="1"/>
    <xf numFmtId="2" fontId="1" fillId="8" borderId="0" xfId="7" applyNumberFormat="1"/>
    <xf numFmtId="165" fontId="1" fillId="8" borderId="0" xfId="7" applyNumberFormat="1"/>
    <xf numFmtId="0" fontId="7" fillId="4" borderId="0" xfId="29"/>
    <xf numFmtId="166" fontId="1" fillId="8" borderId="0" xfId="7" applyNumberFormat="1"/>
    <xf numFmtId="166" fontId="15" fillId="0" borderId="0" xfId="0" applyNumberFormat="1" applyFont="1"/>
    <xf numFmtId="167" fontId="15" fillId="0" borderId="0" xfId="0" applyNumberFormat="1" applyFont="1"/>
    <xf numFmtId="0" fontId="15" fillId="0" borderId="0" xfId="0" applyFont="1" applyAlignment="1">
      <alignment horizontal="right"/>
    </xf>
    <xf numFmtId="2" fontId="1" fillId="11" borderId="0" xfId="12" applyNumberFormat="1"/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Hyperlink" xfId="34" builtinId="8"/>
    <cellStyle name="Input" xfId="35" builtinId="20" customBuiltin="1"/>
    <cellStyle name="Linked Cell" xfId="36" builtinId="24" customBuiltin="1"/>
    <cellStyle name="Neutral" xfId="37" builtinId="28" customBuiltin="1"/>
    <cellStyle name="Normal" xfId="0" builtinId="0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'Adams-Data'!$A$13</c:f>
              <c:strCache>
                <c:ptCount val="1"/>
                <c:pt idx="0">
                  <c:v>from Adams (1985)</c:v>
                </c:pt>
              </c:strCache>
            </c:strRef>
          </c:tx>
          <c:xVal>
            <c:numRef>
              <c:f>'Adams-Data'!$K$2:$K$12</c:f>
              <c:numCache>
                <c:formatCode>General</c:formatCode>
                <c:ptCount val="11"/>
                <c:pt idx="2" formatCode="0.00">
                  <c:v>4.5502018650212577</c:v>
                </c:pt>
                <c:pt idx="3" formatCode="0.00">
                  <c:v>12.907938719511026</c:v>
                </c:pt>
                <c:pt idx="4" formatCode="0.00">
                  <c:v>26.741942607241413</c:v>
                </c:pt>
                <c:pt idx="5" formatCode="0.00">
                  <c:v>95.924327313305156</c:v>
                </c:pt>
                <c:pt idx="6" formatCode="0.00">
                  <c:v>167.17627463608173</c:v>
                </c:pt>
                <c:pt idx="7" formatCode="0.00">
                  <c:v>232.97344809209451</c:v>
                </c:pt>
                <c:pt idx="8" formatCode="0.00">
                  <c:v>303.61988238260142</c:v>
                </c:pt>
                <c:pt idx="9" formatCode="0.00">
                  <c:v>384.09549182718615</c:v>
                </c:pt>
                <c:pt idx="10" formatCode="0.00">
                  <c:v>463.07041725750639</c:v>
                </c:pt>
              </c:numCache>
            </c:numRef>
          </c:xVal>
          <c:yVal>
            <c:numRef>
              <c:f>'Adams-Data'!$L$2:$L$12</c:f>
              <c:numCache>
                <c:formatCode>General</c:formatCode>
                <c:ptCount val="11"/>
                <c:pt idx="2" formatCode="0.00">
                  <c:v>1.3030595913580794</c:v>
                </c:pt>
                <c:pt idx="3" formatCode="0.00">
                  <c:v>5.5088800311523922</c:v>
                </c:pt>
                <c:pt idx="4" formatCode="0.00">
                  <c:v>13.179513805298249</c:v>
                </c:pt>
                <c:pt idx="5" formatCode="0.00">
                  <c:v>49.613364867261446</c:v>
                </c:pt>
                <c:pt idx="6" formatCode="0.00">
                  <c:v>89.057817507700022</c:v>
                </c:pt>
                <c:pt idx="7" formatCode="0.00">
                  <c:v>142.9661144934627</c:v>
                </c:pt>
                <c:pt idx="8" formatCode="0.00">
                  <c:v>192.43328033131252</c:v>
                </c:pt>
                <c:pt idx="9" formatCode="0.00">
                  <c:v>229.9596733100131</c:v>
                </c:pt>
                <c:pt idx="10" formatCode="0.00">
                  <c:v>271.07141730881898</c:v>
                </c:pt>
              </c:numCache>
            </c:numRef>
          </c:yVal>
          <c:smooth val="1"/>
        </c:ser>
        <c:ser>
          <c:idx val="1"/>
          <c:order val="1"/>
          <c:tx>
            <c:v>Interpolation</c:v>
          </c:tx>
          <c:marker>
            <c:symbol val="none"/>
          </c:marker>
          <c:xVal>
            <c:numRef>
              <c:f>'Adams-Data'!$AD$4:$AD$73</c:f>
              <c:numCache>
                <c:formatCode>0.00</c:formatCode>
                <c:ptCount val="70"/>
                <c:pt idx="0">
                  <c:v>1.1270420266553247</c:v>
                </c:pt>
                <c:pt idx="1">
                  <c:v>2.6362786887089902</c:v>
                </c:pt>
                <c:pt idx="2">
                  <c:v>4.5350452249171198</c:v>
                </c:pt>
                <c:pt idx="3">
                  <c:v>6.926773656733487</c:v>
                </c:pt>
                <c:pt idx="4">
                  <c:v>9.8526814364121247</c:v>
                </c:pt>
                <c:pt idx="5">
                  <c:v>13.171410394763692</c:v>
                </c:pt>
                <c:pt idx="6">
                  <c:v>17.012640864903197</c:v>
                </c:pt>
                <c:pt idx="7">
                  <c:v>21.599412589305178</c:v>
                </c:pt>
                <c:pt idx="8">
                  <c:v>26.954328933622744</c:v>
                </c:pt>
                <c:pt idx="9">
                  <c:v>32.75107068224893</c:v>
                </c:pt>
                <c:pt idx="10">
                  <c:v>38.653724120970352</c:v>
                </c:pt>
                <c:pt idx="11">
                  <c:v>44.660809729445866</c:v>
                </c:pt>
                <c:pt idx="12">
                  <c:v>50.770824054374813</c:v>
                </c:pt>
                <c:pt idx="13">
                  <c:v>56.982239957120534</c:v>
                </c:pt>
                <c:pt idx="14">
                  <c:v>63.293506865221801</c:v>
                </c:pt>
                <c:pt idx="15">
                  <c:v>69.703051027751343</c:v>
                </c:pt>
                <c:pt idx="16">
                  <c:v>76.209275774479863</c:v>
                </c:pt>
                <c:pt idx="17">
                  <c:v>82.810561778804399</c:v>
                </c:pt>
                <c:pt idx="18">
                  <c:v>89.505267324398162</c:v>
                </c:pt>
                <c:pt idx="19">
                  <c:v>96.291728575539082</c:v>
                </c:pt>
                <c:pt idx="20">
                  <c:v>103.15278916671706</c:v>
                </c:pt>
                <c:pt idx="21">
                  <c:v>110.07219297363395</c:v>
                </c:pt>
                <c:pt idx="22">
                  <c:v>117.05001222045958</c:v>
                </c:pt>
                <c:pt idx="23">
                  <c:v>124.08631706993582</c:v>
                </c:pt>
                <c:pt idx="24">
                  <c:v>131.1811756206564</c:v>
                </c:pt>
                <c:pt idx="25">
                  <c:v>138.3346539044052</c:v>
                </c:pt>
                <c:pt idx="26">
                  <c:v>145.54681588355194</c:v>
                </c:pt>
                <c:pt idx="27">
                  <c:v>152.8177234485068</c:v>
                </c:pt>
                <c:pt idx="28">
                  <c:v>160.14743641523236</c:v>
                </c:pt>
                <c:pt idx="29">
                  <c:v>167.53601252281464</c:v>
                </c:pt>
                <c:pt idx="30">
                  <c:v>174.89775648178005</c:v>
                </c:pt>
                <c:pt idx="31">
                  <c:v>182.14042454357201</c:v>
                </c:pt>
                <c:pt idx="32">
                  <c:v>189.25127998138817</c:v>
                </c:pt>
                <c:pt idx="33">
                  <c:v>196.21765472092488</c:v>
                </c:pt>
                <c:pt idx="34">
                  <c:v>203.026971377834</c:v>
                </c:pt>
                <c:pt idx="35">
                  <c:v>209.6667653399293</c:v>
                </c:pt>
                <c:pt idx="36">
                  <c:v>216.12470685612271</c:v>
                </c:pt>
                <c:pt idx="37">
                  <c:v>222.38862309380625</c:v>
                </c:pt>
                <c:pt idx="38">
                  <c:v>228.4465201261969</c:v>
                </c:pt>
                <c:pt idx="39">
                  <c:v>234.28660481102938</c:v>
                </c:pt>
                <c:pt idx="40">
                  <c:v>240.18962823860323</c:v>
                </c:pt>
                <c:pt idx="41">
                  <c:v>246.43375535022133</c:v>
                </c:pt>
                <c:pt idx="42">
                  <c:v>253.00187142749468</c:v>
                </c:pt>
                <c:pt idx="43">
                  <c:v>259.87597372079961</c:v>
                </c:pt>
                <c:pt idx="44">
                  <c:v>267.03722079356316</c:v>
                </c:pt>
                <c:pt idx="45">
                  <c:v>274.46598416533112</c:v>
                </c:pt>
                <c:pt idx="46">
                  <c:v>282.14190211206841</c:v>
                </c:pt>
                <c:pt idx="47">
                  <c:v>290.04393547622959</c:v>
                </c:pt>
                <c:pt idx="48">
                  <c:v>298.15042533362708</c:v>
                </c:pt>
                <c:pt idx="49">
                  <c:v>306.43915235903694</c:v>
                </c:pt>
                <c:pt idx="50">
                  <c:v>314.78599707252692</c:v>
                </c:pt>
                <c:pt idx="51">
                  <c:v>323.07710579529214</c:v>
                </c:pt>
                <c:pt idx="52">
                  <c:v>331.30995297529785</c:v>
                </c:pt>
                <c:pt idx="53">
                  <c:v>339.48203080753962</c:v>
                </c:pt>
                <c:pt idx="54">
                  <c:v>347.59084999794504</c:v>
                </c:pt>
                <c:pt idx="55">
                  <c:v>355.63394052163687</c:v>
                </c:pt>
                <c:pt idx="56">
                  <c:v>363.60885237532642</c:v>
                </c:pt>
                <c:pt idx="57">
                  <c:v>371.51315632360831</c:v>
                </c:pt>
                <c:pt idx="58">
                  <c:v>379.34444463892925</c:v>
                </c:pt>
                <c:pt idx="59">
                  <c:v>387.10033183500497</c:v>
                </c:pt>
                <c:pt idx="60">
                  <c:v>394.83720705322855</c:v>
                </c:pt>
                <c:pt idx="61">
                  <c:v>402.61237631453719</c:v>
                </c:pt>
                <c:pt idx="62">
                  <c:v>410.4252475096888</c:v>
                </c:pt>
                <c:pt idx="63">
                  <c:v>418.2752256582931</c:v>
                </c:pt>
                <c:pt idx="64">
                  <c:v>426.1617129541217</c:v>
                </c:pt>
                <c:pt idx="65">
                  <c:v>434.08410881063321</c:v>
                </c:pt>
                <c:pt idx="66">
                  <c:v>442.04180990671034</c:v>
                </c:pt>
                <c:pt idx="67">
                  <c:v>450.03421023260518</c:v>
                </c:pt>
                <c:pt idx="68">
                  <c:v>458.06070113608899</c:v>
                </c:pt>
                <c:pt idx="69">
                  <c:v>466.12067136880376</c:v>
                </c:pt>
              </c:numCache>
            </c:numRef>
          </c:xVal>
          <c:yVal>
            <c:numRef>
              <c:f>'Adams-Data'!$AC$4:$AC$73</c:f>
              <c:numCache>
                <c:formatCode>0.00</c:formatCode>
                <c:ptCount val="70"/>
                <c:pt idx="0">
                  <c:v>0.51531684975252723</c:v>
                </c:pt>
                <c:pt idx="1">
                  <c:v>1.0251868337743821</c:v>
                </c:pt>
                <c:pt idx="2">
                  <c:v>1.4540464251951157</c:v>
                </c:pt>
                <c:pt idx="3">
                  <c:v>2.0842556898124172</c:v>
                </c:pt>
                <c:pt idx="4">
                  <c:v>3.3239460505796954</c:v>
                </c:pt>
                <c:pt idx="5">
                  <c:v>5.3346891260733855</c:v>
                </c:pt>
                <c:pt idx="6">
                  <c:v>7.848900779844926</c:v>
                </c:pt>
                <c:pt idx="7">
                  <c:v>10.485344609367598</c:v>
                </c:pt>
                <c:pt idx="8">
                  <c:v>13.163366688525672</c:v>
                </c:pt>
                <c:pt idx="9">
                  <c:v>15.894788260251763</c:v>
                </c:pt>
                <c:pt idx="10">
                  <c:v>18.733548753305879</c:v>
                </c:pt>
                <c:pt idx="11">
                  <c:v>21.68143127667453</c:v>
                </c:pt>
                <c:pt idx="12">
                  <c:v>24.740199669587486</c:v>
                </c:pt>
                <c:pt idx="13">
                  <c:v>27.911598194788589</c:v>
                </c:pt>
                <c:pt idx="14">
                  <c:v>31.197351234978015</c:v>
                </c:pt>
                <c:pt idx="15">
                  <c:v>34.599162992474973</c:v>
                </c:pt>
                <c:pt idx="16">
                  <c:v>38.118717192149298</c:v>
                </c:pt>
                <c:pt idx="17">
                  <c:v>41.757676787670235</c:v>
                </c:pt>
                <c:pt idx="18">
                  <c:v>45.517683671119975</c:v>
                </c:pt>
                <c:pt idx="19">
                  <c:v>49.400358386018787</c:v>
                </c:pt>
                <c:pt idx="20">
                  <c:v>53.34559149397586</c:v>
                </c:pt>
                <c:pt idx="21">
                  <c:v>57.2922981576368</c:v>
                </c:pt>
                <c:pt idx="22">
                  <c:v>61.240106878060566</c:v>
                </c:pt>
                <c:pt idx="23">
                  <c:v>65.188645669351175</c:v>
                </c:pt>
                <c:pt idx="24">
                  <c:v>69.137542069659233</c:v>
                </c:pt>
                <c:pt idx="25">
                  <c:v>73.086423152198122</c:v>
                </c:pt>
                <c:pt idx="26">
                  <c:v>77.034915536274042</c:v>
                </c:pt>
                <c:pt idx="27">
                  <c:v>80.982645398330177</c:v>
                </c:pt>
                <c:pt idx="28">
                  <c:v>84.929238483004085</c:v>
                </c:pt>
                <c:pt idx="29">
                  <c:v>88.874320114198511</c:v>
                </c:pt>
                <c:pt idx="30">
                  <c:v>92.972375859713225</c:v>
                </c:pt>
                <c:pt idx="31">
                  <c:v>97.376561092885453</c:v>
                </c:pt>
                <c:pt idx="32">
                  <c:v>102.08372152636598</c:v>
                </c:pt>
                <c:pt idx="33">
                  <c:v>107.09017296133999</c:v>
                </c:pt>
                <c:pt idx="34">
                  <c:v>112.39170198493747</c:v>
                </c:pt>
                <c:pt idx="35">
                  <c:v>117.98356758343672</c:v>
                </c:pt>
                <c:pt idx="36">
                  <c:v>123.8605036756139</c:v>
                </c:pt>
                <c:pt idx="37">
                  <c:v>130.01672256901432</c:v>
                </c:pt>
                <c:pt idx="38">
                  <c:v>136.44591934033122</c:v>
                </c:pt>
                <c:pt idx="39">
                  <c:v>143.14127713947636</c:v>
                </c:pt>
                <c:pt idx="40">
                  <c:v>149.81343138222499</c:v>
                </c:pt>
                <c:pt idx="41">
                  <c:v>156.16750129366523</c:v>
                </c:pt>
                <c:pt idx="42">
                  <c:v>162.1860708098358</c:v>
                </c:pt>
                <c:pt idx="43">
                  <c:v>167.85264345003853</c:v>
                </c:pt>
                <c:pt idx="44">
                  <c:v>173.15168753254525</c:v>
                </c:pt>
                <c:pt idx="45">
                  <c:v>178.06867874585785</c:v>
                </c:pt>
                <c:pt idx="46">
                  <c:v>182.59013995883652</c:v>
                </c:pt>
                <c:pt idx="47">
                  <c:v>186.70367816057939</c:v>
                </c:pt>
                <c:pt idx="48">
                  <c:v>190.39801842880402</c:v>
                </c:pt>
                <c:pt idx="49">
                  <c:v>193.66303483362566</c:v>
                </c:pt>
                <c:pt idx="50">
                  <c:v>196.78379219403828</c:v>
                </c:pt>
                <c:pt idx="51">
                  <c:v>200.0497467743979</c:v>
                </c:pt>
                <c:pt idx="52">
                  <c:v>203.45990373330133</c:v>
                </c:pt>
                <c:pt idx="53">
                  <c:v>207.01322430390397</c:v>
                </c:pt>
                <c:pt idx="54">
                  <c:v>210.7086261103382</c:v>
                </c:pt>
                <c:pt idx="55">
                  <c:v>214.54498349741564</c:v>
                </c:pt>
                <c:pt idx="56">
                  <c:v>218.52112787351254</c:v>
                </c:pt>
                <c:pt idx="57">
                  <c:v>222.63584806653418</c:v>
                </c:pt>
                <c:pt idx="58">
                  <c:v>226.88789069284957</c:v>
                </c:pt>
                <c:pt idx="59">
                  <c:v>231.27596053908425</c:v>
                </c:pt>
                <c:pt idx="60">
                  <c:v>235.69794903536811</c:v>
                </c:pt>
                <c:pt idx="61">
                  <c:v>240.05225303964144</c:v>
                </c:pt>
                <c:pt idx="62">
                  <c:v>244.33854095479595</c:v>
                </c:pt>
                <c:pt idx="63">
                  <c:v>248.55648636341186</c:v>
                </c:pt>
                <c:pt idx="64">
                  <c:v>252.70576805261587</c:v>
                </c:pt>
                <c:pt idx="65">
                  <c:v>256.78607003854273</c:v>
                </c:pt>
                <c:pt idx="66">
                  <c:v>260.7970815903987</c:v>
                </c:pt>
                <c:pt idx="67">
                  <c:v>264.73849725412481</c:v>
                </c:pt>
                <c:pt idx="68">
                  <c:v>268.61001687565852</c:v>
                </c:pt>
                <c:pt idx="69">
                  <c:v>272.41134562379142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081472"/>
        <c:axId val="1167082048"/>
      </c:scatterChart>
      <c:valAx>
        <c:axId val="11670814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Easting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167082048"/>
        <c:crosses val="autoZero"/>
        <c:crossBetween val="midCat"/>
      </c:valAx>
      <c:valAx>
        <c:axId val="11670820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Northing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16708147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'Adams-Data'!$A$13</c:f>
              <c:strCache>
                <c:ptCount val="1"/>
                <c:pt idx="0">
                  <c:v>from Adams (1985)</c:v>
                </c:pt>
              </c:strCache>
            </c:strRef>
          </c:tx>
          <c:xVal>
            <c:numRef>
              <c:f>'Adams-Data'!$B$2:$B$12</c:f>
              <c:numCache>
                <c:formatCode>General</c:formatCode>
                <c:ptCount val="11"/>
                <c:pt idx="1">
                  <c:v>3000</c:v>
                </c:pt>
                <c:pt idx="2">
                  <c:v>3300</c:v>
                </c:pt>
                <c:pt idx="3">
                  <c:v>3600</c:v>
                </c:pt>
                <c:pt idx="4">
                  <c:v>3900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</c:numCache>
            </c:numRef>
          </c:xVal>
          <c:yVal>
            <c:numRef>
              <c:f>'Adams-Data'!$M$2:$M$12</c:f>
              <c:numCache>
                <c:formatCode>General</c:formatCode>
                <c:ptCount val="11"/>
                <c:pt idx="2" formatCode="0.00">
                  <c:v>299.5796020700385</c:v>
                </c:pt>
                <c:pt idx="3" formatCode="0.00">
                  <c:v>597.92088319043091</c:v>
                </c:pt>
                <c:pt idx="4" formatCode="0.00">
                  <c:v>893.32488984617953</c:v>
                </c:pt>
                <c:pt idx="5" formatCode="0.00">
                  <c:v>1962.8461543021695</c:v>
                </c:pt>
                <c:pt idx="6" formatCode="0.00">
                  <c:v>2926.4713570655003</c:v>
                </c:pt>
                <c:pt idx="7" formatCode="0.00">
                  <c:v>3886.2187636684544</c:v>
                </c:pt>
                <c:pt idx="8" formatCode="0.00">
                  <c:v>4844.3565375319249</c:v>
                </c:pt>
                <c:pt idx="9" formatCode="0.00">
                  <c:v>5800.868376576218</c:v>
                </c:pt>
                <c:pt idx="10" formatCode="0.00">
                  <c:v>6757.2249834831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084352"/>
        <c:axId val="1167084928"/>
      </c:scatterChart>
      <c:valAx>
        <c:axId val="1167084352"/>
        <c:scaling>
          <c:orientation val="minMax"/>
          <c:max val="12000"/>
          <c:min val="0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Measured Depth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167084928"/>
        <c:crosses val="autoZero"/>
        <c:crossBetween val="midCat"/>
      </c:valAx>
      <c:valAx>
        <c:axId val="1167084928"/>
        <c:scaling>
          <c:orientation val="maxMin"/>
          <c:max val="1200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TVD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16708435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'Sawaryn-Data'!$A$13</c:f>
              <c:strCache>
                <c:ptCount val="1"/>
                <c:pt idx="0">
                  <c:v>from Sawaryn</c:v>
                </c:pt>
              </c:strCache>
            </c:strRef>
          </c:tx>
          <c:xVal>
            <c:numRef>
              <c:f>'Sawaryn-Data'!$L$2:$L$12</c:f>
              <c:numCache>
                <c:formatCode>0.00</c:formatCode>
                <c:ptCount val="11"/>
                <c:pt idx="0">
                  <c:v>0</c:v>
                </c:pt>
                <c:pt idx="1">
                  <c:v>23.825322381829274</c:v>
                </c:pt>
                <c:pt idx="2">
                  <c:v>138.62356310837993</c:v>
                </c:pt>
                <c:pt idx="3">
                  <c:v>392.76898113395009</c:v>
                </c:pt>
                <c:pt idx="4">
                  <c:v>485.77315118758798</c:v>
                </c:pt>
                <c:pt idx="5">
                  <c:v>1951.1864855226618</c:v>
                </c:pt>
                <c:pt idx="6">
                  <c:v>2107.5429010843632</c:v>
                </c:pt>
                <c:pt idx="7">
                  <c:v>2247.0296520863758</c:v>
                </c:pt>
                <c:pt idx="8">
                  <c:v>2484.1765064638957</c:v>
                </c:pt>
              </c:numCache>
            </c:numRef>
          </c:xVal>
          <c:yVal>
            <c:numRef>
              <c:f>'Sawaryn-Data'!$K$2:$K$12</c:f>
              <c:numCache>
                <c:formatCode>0.00</c:formatCode>
                <c:ptCount val="11"/>
                <c:pt idx="0">
                  <c:v>0</c:v>
                </c:pt>
                <c:pt idx="1">
                  <c:v>23.825322381829256</c:v>
                </c:pt>
                <c:pt idx="2">
                  <c:v>377.48341794323107</c:v>
                </c:pt>
                <c:pt idx="3">
                  <c:v>1482.7076149419249</c:v>
                </c:pt>
                <c:pt idx="4">
                  <c:v>1887.1629065762597</c:v>
                </c:pt>
                <c:pt idx="5">
                  <c:v>1017.3191665763005</c:v>
                </c:pt>
                <c:pt idx="6">
                  <c:v>735.2355192012858</c:v>
                </c:pt>
                <c:pt idx="7">
                  <c:v>444.43981710938959</c:v>
                </c:pt>
                <c:pt idx="8">
                  <c:v>-215.97363220880226</c:v>
                </c:pt>
              </c:numCache>
            </c:numRef>
          </c:yVal>
          <c:smooth val="1"/>
        </c:ser>
        <c:ser>
          <c:idx val="1"/>
          <c:order val="1"/>
          <c:tx>
            <c:v>Interpolation</c:v>
          </c:tx>
          <c:marker>
            <c:symbol val="none"/>
          </c:marker>
          <c:xVal>
            <c:numRef>
              <c:f>'Sawaryn-Data'!$AD$4:$AD$73</c:f>
              <c:numCache>
                <c:formatCode>0.00</c:formatCode>
                <c:ptCount val="70"/>
              </c:numCache>
            </c:numRef>
          </c:xVal>
          <c:yVal>
            <c:numRef>
              <c:f>'Sawaryn-Data'!$AC$4:$AC$73</c:f>
              <c:numCache>
                <c:formatCode>0.00</c:formatCode>
                <c:ptCount val="70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087808"/>
        <c:axId val="1167088384"/>
      </c:scatterChart>
      <c:valAx>
        <c:axId val="11670878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Easting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167088384"/>
        <c:crosses val="autoZero"/>
        <c:crossBetween val="midCat"/>
      </c:valAx>
      <c:valAx>
        <c:axId val="11670883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Northing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16708780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'Sawaryn-Data'!$A$13</c:f>
              <c:strCache>
                <c:ptCount val="1"/>
                <c:pt idx="0">
                  <c:v>from Sawaryn</c:v>
                </c:pt>
              </c:strCache>
            </c:strRef>
          </c:tx>
          <c:xVal>
            <c:numRef>
              <c:f>'Sawaryn-Data'!$B$2:$B$12</c:f>
              <c:numCache>
                <c:formatCode>0.00</c:formatCode>
                <c:ptCount val="11"/>
                <c:pt idx="0" formatCode="General">
                  <c:v>0</c:v>
                </c:pt>
                <c:pt idx="1">
                  <c:v>702.55</c:v>
                </c:pt>
                <c:pt idx="2">
                  <c:v>1964.57</c:v>
                </c:pt>
                <c:pt idx="3">
                  <c:v>4250</c:v>
                </c:pt>
                <c:pt idx="4">
                  <c:v>5086.3500000000004</c:v>
                </c:pt>
                <c:pt idx="5">
                  <c:v>8504.11</c:v>
                </c:pt>
                <c:pt idx="6">
                  <c:v>8828.0400000000009</c:v>
                </c:pt>
                <c:pt idx="7">
                  <c:v>9151.9699999999993</c:v>
                </c:pt>
                <c:pt idx="8">
                  <c:v>9901.68</c:v>
                </c:pt>
              </c:numCache>
            </c:numRef>
          </c:xVal>
          <c:yVal>
            <c:numRef>
              <c:f>'Sawaryn-Data'!$M$2:$M$12</c:f>
              <c:numCache>
                <c:formatCode>0.00</c:formatCode>
                <c:ptCount val="11"/>
                <c:pt idx="0">
                  <c:v>0</c:v>
                </c:pt>
                <c:pt idx="1">
                  <c:v>701.47153512350724</c:v>
                </c:pt>
                <c:pt idx="2">
                  <c:v>1896.8154242341468</c:v>
                </c:pt>
                <c:pt idx="3">
                  <c:v>3881.0230408320676</c:v>
                </c:pt>
                <c:pt idx="4">
                  <c:v>4607.1411193300619</c:v>
                </c:pt>
                <c:pt idx="5">
                  <c:v>7051.3375330055078</c:v>
                </c:pt>
                <c:pt idx="6">
                  <c:v>7077.0431806043607</c:v>
                </c:pt>
                <c:pt idx="7">
                  <c:v>7051.3375770861085</c:v>
                </c:pt>
                <c:pt idx="8">
                  <c:v>6801.3400690855678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123584"/>
        <c:axId val="1167124160"/>
      </c:scatterChart>
      <c:valAx>
        <c:axId val="1167123584"/>
        <c:scaling>
          <c:orientation val="minMax"/>
          <c:max val="12000"/>
          <c:min val="0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Measured Depth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167124160"/>
        <c:crosses val="autoZero"/>
        <c:crossBetween val="midCat"/>
      </c:valAx>
      <c:valAx>
        <c:axId val="1167124160"/>
        <c:scaling>
          <c:orientation val="maxMin"/>
          <c:max val="1200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TVD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16712358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'SAWARYN-INTERPOLATION'!$H$24</c:f>
              <c:strCache>
                <c:ptCount val="1"/>
                <c:pt idx="0">
                  <c:v>E</c:v>
                </c:pt>
              </c:strCache>
            </c:strRef>
          </c:tx>
          <c:xVal>
            <c:numRef>
              <c:f>'SAWARYN-INTERPOLATION'!$H$25:$H$36</c:f>
              <c:numCache>
                <c:formatCode>General</c:formatCode>
                <c:ptCount val="12"/>
                <c:pt idx="0">
                  <c:v>7.4940128797984298E-3</c:v>
                </c:pt>
                <c:pt idx="1">
                  <c:v>2.9975036949810442E-2</c:v>
                </c:pt>
                <c:pt idx="2">
                  <c:v>6.744002863924245E-2</c:v>
                </c:pt>
                <c:pt idx="3">
                  <c:v>0.1198839157879415</c:v>
                </c:pt>
                <c:pt idx="4">
                  <c:v>0.269677949270413</c:v>
                </c:pt>
                <c:pt idx="5">
                  <c:v>0.4792760212855659</c:v>
                </c:pt>
                <c:pt idx="6">
                  <c:v>1.0773979532207387</c:v>
                </c:pt>
                <c:pt idx="7">
                  <c:v>1.9129543126769162</c:v>
                </c:pt>
                <c:pt idx="8">
                  <c:v>2.4192248811834638</c:v>
                </c:pt>
                <c:pt idx="9">
                  <c:v>4.2886214872455213</c:v>
                </c:pt>
                <c:pt idx="10">
                  <c:v>5.4184115944529125</c:v>
                </c:pt>
                <c:pt idx="11">
                  <c:v>6.5886480273046164</c:v>
                </c:pt>
              </c:numCache>
            </c:numRef>
          </c:xVal>
          <c:yVal>
            <c:numRef>
              <c:f>'SAWARYN-INTERPOLATION'!$G$25:$G$36</c:f>
              <c:numCache>
                <c:formatCode>General</c:formatCode>
                <c:ptCount val="12"/>
                <c:pt idx="0">
                  <c:v>1.6070962483115504E-2</c:v>
                </c:pt>
                <c:pt idx="1">
                  <c:v>6.4281674181398255E-2</c:v>
                </c:pt>
                <c:pt idx="2">
                  <c:v>0.1446256081362183</c:v>
                </c:pt>
                <c:pt idx="3">
                  <c:v>0.25709188706502578</c:v>
                </c:pt>
                <c:pt idx="4">
                  <c:v>0.57832622851922655</c:v>
                </c:pt>
                <c:pt idx="5">
                  <c:v>1.027810744481183</c:v>
                </c:pt>
                <c:pt idx="6">
                  <c:v>2.310487366824709</c:v>
                </c:pt>
                <c:pt idx="7">
                  <c:v>4.1023437621542547</c:v>
                </c:pt>
                <c:pt idx="8">
                  <c:v>5.1880444999668551</c:v>
                </c:pt>
                <c:pt idx="9">
                  <c:v>9.196978458844022</c:v>
                </c:pt>
                <c:pt idx="10">
                  <c:v>11.619821162473508</c:v>
                </c:pt>
                <c:pt idx="11">
                  <c:v>14.129401291356409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125888"/>
        <c:axId val="1167126464"/>
      </c:scatterChart>
      <c:valAx>
        <c:axId val="1167125888"/>
        <c:scaling>
          <c:orientation val="minMax"/>
          <c:max val="5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167126464"/>
        <c:crosses val="autoZero"/>
        <c:crossBetween val="midCat"/>
      </c:valAx>
      <c:valAx>
        <c:axId val="1167126464"/>
        <c:scaling>
          <c:orientation val="minMax"/>
          <c:max val="5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7125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'SAWARYN-INTERPOLATION'!$I$23</c:f>
              <c:strCache>
                <c:ptCount val="1"/>
              </c:strCache>
            </c:strRef>
          </c:tx>
          <c:xVal>
            <c:numRef>
              <c:f>'SAWARYN-INTERPOLATION'!$G$25:$G$36</c:f>
              <c:numCache>
                <c:formatCode>General</c:formatCode>
                <c:ptCount val="12"/>
                <c:pt idx="0">
                  <c:v>1.6070962483115504E-2</c:v>
                </c:pt>
                <c:pt idx="1">
                  <c:v>6.4281674181398255E-2</c:v>
                </c:pt>
                <c:pt idx="2">
                  <c:v>0.1446256081362183</c:v>
                </c:pt>
                <c:pt idx="3">
                  <c:v>0.25709188706502578</c:v>
                </c:pt>
                <c:pt idx="4">
                  <c:v>0.57832622851922655</c:v>
                </c:pt>
                <c:pt idx="5">
                  <c:v>1.027810744481183</c:v>
                </c:pt>
                <c:pt idx="6">
                  <c:v>2.310487366824709</c:v>
                </c:pt>
                <c:pt idx="7">
                  <c:v>4.1023437621542547</c:v>
                </c:pt>
                <c:pt idx="8">
                  <c:v>5.1880444999668551</c:v>
                </c:pt>
                <c:pt idx="9">
                  <c:v>9.196978458844022</c:v>
                </c:pt>
                <c:pt idx="10">
                  <c:v>11.619821162473508</c:v>
                </c:pt>
                <c:pt idx="11">
                  <c:v>14.129401291356409</c:v>
                </c:pt>
              </c:numCache>
            </c:numRef>
          </c:xVal>
          <c:yVal>
            <c:numRef>
              <c:f>'SAWARYN-INTERPOLATION'!$I$25:$I$36</c:f>
              <c:numCache>
                <c:formatCode>General</c:formatCode>
                <c:ptCount val="12"/>
                <c:pt idx="0">
                  <c:v>9.9997743589942356</c:v>
                </c:pt>
                <c:pt idx="1">
                  <c:v>19.998194908611939</c:v>
                </c:pt>
                <c:pt idx="2">
                  <c:v>29.993908022760589</c:v>
                </c:pt>
                <c:pt idx="3">
                  <c:v>39.985560441891174</c:v>
                </c:pt>
                <c:pt idx="4">
                  <c:v>59.951273088802793</c:v>
                </c:pt>
                <c:pt idx="5">
                  <c:v>79.884521063731825</c:v>
                </c:pt>
                <c:pt idx="6">
                  <c:v>119.61046960139782</c:v>
                </c:pt>
                <c:pt idx="7">
                  <c:v>159.07736849641361</c:v>
                </c:pt>
                <c:pt idx="8">
                  <c:v>178.68693592929725</c:v>
                </c:pt>
                <c:pt idx="9">
                  <c:v>236.89285746689703</c:v>
                </c:pt>
                <c:pt idx="10">
                  <c:v>265.58054363253581</c:v>
                </c:pt>
                <c:pt idx="11">
                  <c:v>292.06448135335427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128192"/>
        <c:axId val="1167128768"/>
      </c:scatterChart>
      <c:valAx>
        <c:axId val="1167128192"/>
        <c:scaling>
          <c:orientation val="minMax"/>
          <c:max val="100"/>
          <c:min val="0"/>
        </c:scaling>
        <c:delete val="0"/>
        <c:axPos val="t"/>
        <c:numFmt formatCode="General" sourceLinked="1"/>
        <c:majorTickMark val="out"/>
        <c:minorTickMark val="none"/>
        <c:tickLblPos val="nextTo"/>
        <c:crossAx val="1167128768"/>
        <c:crosses val="autoZero"/>
        <c:crossBetween val="midCat"/>
        <c:majorUnit val="10"/>
      </c:valAx>
      <c:valAx>
        <c:axId val="1167128768"/>
        <c:scaling>
          <c:orientation val="maxMin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71281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'Original'</c:v>
          </c:tx>
          <c:xVal>
            <c:numRef>
              <c:f>Example!$D$2:$D$11</c:f>
              <c:numCache>
                <c:formatCode>General</c:formatCode>
                <c:ptCount val="10"/>
                <c:pt idx="0">
                  <c:v>0</c:v>
                </c:pt>
                <c:pt idx="1">
                  <c:v>4.7331069405912558</c:v>
                </c:pt>
                <c:pt idx="2">
                  <c:v>14.034337931811423</c:v>
                </c:pt>
                <c:pt idx="3">
                  <c:v>29.813270175427565</c:v>
                </c:pt>
                <c:pt idx="4">
                  <c:v>107.99519685598139</c:v>
                </c:pt>
                <c:pt idx="5">
                  <c:v>189.41806054447881</c:v>
                </c:pt>
                <c:pt idx="6">
                  <c:v>273.34216178496013</c:v>
                </c:pt>
                <c:pt idx="7">
                  <c:v>359.46571513440773</c:v>
                </c:pt>
                <c:pt idx="8">
                  <c:v>447.67264623920437</c:v>
                </c:pt>
                <c:pt idx="9">
                  <c:v>536.57611260738008</c:v>
                </c:pt>
              </c:numCache>
            </c:numRef>
          </c:xVal>
          <c:yVal>
            <c:numRef>
              <c:f>Example!$C$2:$C$11</c:f>
              <c:numCache>
                <c:formatCode>General</c:formatCode>
                <c:ptCount val="10"/>
                <c:pt idx="0">
                  <c:v>0</c:v>
                </c:pt>
                <c:pt idx="1">
                  <c:v>299.57960207003703</c:v>
                </c:pt>
                <c:pt idx="2">
                  <c:v>597.92088319043</c:v>
                </c:pt>
                <c:pt idx="3">
                  <c:v>893.32488984617896</c:v>
                </c:pt>
                <c:pt idx="4">
                  <c:v>1962.8461543021699</c:v>
                </c:pt>
                <c:pt idx="5">
                  <c:v>2926.4713570654499</c:v>
                </c:pt>
                <c:pt idx="6">
                  <c:v>3886.2187636684098</c:v>
                </c:pt>
                <c:pt idx="7">
                  <c:v>4844.3565375318803</c:v>
                </c:pt>
                <c:pt idx="8">
                  <c:v>5800.8683765761598</c:v>
                </c:pt>
                <c:pt idx="9">
                  <c:v>6757.22498348305</c:v>
                </c:pt>
              </c:numCache>
            </c:numRef>
          </c:yVal>
          <c:smooth val="1"/>
        </c:ser>
        <c:ser>
          <c:idx val="1"/>
          <c:order val="1"/>
          <c:tx>
            <c:v>'Interpolation'</c:v>
          </c:tx>
          <c:spPr>
            <a:ln>
              <a:noFill/>
            </a:ln>
          </c:spPr>
          <c:marker>
            <c:symbol val="x"/>
            <c:size val="2"/>
          </c:marker>
          <c:xVal>
            <c:numRef>
              <c:f>Example!$I$2:$I$142</c:f>
              <c:numCache>
                <c:formatCode>General</c:formatCode>
                <c:ptCount val="141"/>
                <c:pt idx="0">
                  <c:v>0</c:v>
                </c:pt>
                <c:pt idx="1">
                  <c:v>0.57249425068524185</c:v>
                </c:pt>
                <c:pt idx="2">
                  <c:v>1.2284958436970235</c:v>
                </c:pt>
                <c:pt idx="3">
                  <c:v>1.9707358208929628</c:v>
                </c:pt>
                <c:pt idx="4">
                  <c:v>2.8012697157974191</c:v>
                </c:pt>
                <c:pt idx="5">
                  <c:v>3.7216602931047951</c:v>
                </c:pt>
                <c:pt idx="6">
                  <c:v>4.7331069405912558</c:v>
                </c:pt>
                <c:pt idx="7">
                  <c:v>5.8699152143502911</c:v>
                </c:pt>
                <c:pt idx="8">
                  <c:v>7.1650796344577534</c:v>
                </c:pt>
                <c:pt idx="9">
                  <c:v>8.6226245429320088</c:v>
                </c:pt>
                <c:pt idx="10">
                  <c:v>10.249102252814982</c:v>
                </c:pt>
                <c:pt idx="11">
                  <c:v>12.051096894435824</c:v>
                </c:pt>
                <c:pt idx="12">
                  <c:v>14.034337931811415</c:v>
                </c:pt>
                <c:pt idx="13">
                  <c:v>16.206487710907204</c:v>
                </c:pt>
                <c:pt idx="14">
                  <c:v>18.566706406065844</c:v>
                </c:pt>
                <c:pt idx="15">
                  <c:v>21.109763639605116</c:v>
                </c:pt>
                <c:pt idx="16">
                  <c:v>23.832757710636812</c:v>
                </c:pt>
                <c:pt idx="17">
                  <c:v>26.73416636777862</c:v>
                </c:pt>
                <c:pt idx="18">
                  <c:v>29.813270175427476</c:v>
                </c:pt>
                <c:pt idx="19">
                  <c:v>32.998738399163187</c:v>
                </c:pt>
                <c:pt idx="20">
                  <c:v>36.2193882454388</c:v>
                </c:pt>
                <c:pt idx="21">
                  <c:v>39.475135305705919</c:v>
                </c:pt>
                <c:pt idx="22">
                  <c:v>42.7659297778306</c:v>
                </c:pt>
                <c:pt idx="23">
                  <c:v>46.091744381833557</c:v>
                </c:pt>
                <c:pt idx="24">
                  <c:v>49.452566832180395</c:v>
                </c:pt>
                <c:pt idx="25">
                  <c:v>52.84839498576347</c:v>
                </c:pt>
                <c:pt idx="26">
                  <c:v>56.279233622271214</c:v>
                </c:pt>
                <c:pt idx="27">
                  <c:v>59.745092253809105</c:v>
                </c:pt>
                <c:pt idx="28">
                  <c:v>63.245983602385209</c:v>
                </c:pt>
                <c:pt idx="29">
                  <c:v>66.781922521837672</c:v>
                </c:pt>
                <c:pt idx="30">
                  <c:v>70.352925222197129</c:v>
                </c:pt>
                <c:pt idx="31">
                  <c:v>73.959008703982292</c:v>
                </c:pt>
                <c:pt idx="32">
                  <c:v>77.600190340830594</c:v>
                </c:pt>
                <c:pt idx="33">
                  <c:v>81.276487568624333</c:v>
                </c:pt>
                <c:pt idx="34">
                  <c:v>84.987917652178524</c:v>
                </c:pt>
                <c:pt idx="35">
                  <c:v>88.734497509155531</c:v>
                </c:pt>
                <c:pt idx="36">
                  <c:v>92.516243576695473</c:v>
                </c:pt>
                <c:pt idx="37">
                  <c:v>96.333171710272666</c:v>
                </c:pt>
                <c:pt idx="38">
                  <c:v>100.18529710709126</c:v>
                </c:pt>
                <c:pt idx="39">
                  <c:v>104.07263424833127</c:v>
                </c:pt>
                <c:pt idx="40">
                  <c:v>107.99519685598128</c:v>
                </c:pt>
                <c:pt idx="41">
                  <c:v>111.94204473439723</c:v>
                </c:pt>
                <c:pt idx="42">
                  <c:v>115.90218639133076</c:v>
                </c:pt>
                <c:pt idx="43">
                  <c:v>119.87556479683028</c:v>
                </c:pt>
                <c:pt idx="44">
                  <c:v>123.86213069528411</c:v>
                </c:pt>
                <c:pt idx="45">
                  <c:v>127.86184143529066</c:v>
                </c:pt>
                <c:pt idx="46">
                  <c:v>131.87466000121933</c:v>
                </c:pt>
                <c:pt idx="47">
                  <c:v>135.90055420712159</c:v>
                </c:pt>
                <c:pt idx="48">
                  <c:v>139.93949602211359</c:v>
                </c:pt>
                <c:pt idx="49">
                  <c:v>143.99146100293078</c:v>
                </c:pt>
                <c:pt idx="50">
                  <c:v>148.05642781432925</c:v>
                </c:pt>
                <c:pt idx="51">
                  <c:v>152.13437782188115</c:v>
                </c:pt>
                <c:pt idx="52">
                  <c:v>156.22529474476173</c:v>
                </c:pt>
                <c:pt idx="53">
                  <c:v>160.32916435846863</c:v>
                </c:pt>
                <c:pt idx="54">
                  <c:v>164.44597423931839</c:v>
                </c:pt>
                <c:pt idx="55">
                  <c:v>168.57571354403865</c:v>
                </c:pt>
                <c:pt idx="56">
                  <c:v>172.71837281896117</c:v>
                </c:pt>
                <c:pt idx="57">
                  <c:v>176.87394383430694</c:v>
                </c:pt>
                <c:pt idx="58">
                  <c:v>181.04241943979412</c:v>
                </c:pt>
                <c:pt idx="59">
                  <c:v>185.22379343844693</c:v>
                </c:pt>
                <c:pt idx="60">
                  <c:v>189.41806047599763</c:v>
                </c:pt>
                <c:pt idx="61">
                  <c:v>193.61768265053053</c:v>
                </c:pt>
                <c:pt idx="62">
                  <c:v>197.81509072447966</c:v>
                </c:pt>
                <c:pt idx="63">
                  <c:v>202.010306311498</c:v>
                </c:pt>
                <c:pt idx="64">
                  <c:v>206.20344077165143</c:v>
                </c:pt>
                <c:pt idx="65">
                  <c:v>210.39468626372661</c:v>
                </c:pt>
                <c:pt idx="66">
                  <c:v>214.58430784382656</c:v>
                </c:pt>
                <c:pt idx="67">
                  <c:v>218.77263646607119</c:v>
                </c:pt>
                <c:pt idx="68">
                  <c:v>222.96006276270384</c:v>
                </c:pt>
                <c:pt idx="69">
                  <c:v>227.14703149897343</c:v>
                </c:pt>
                <c:pt idx="70">
                  <c:v>231.33403661339091</c:v>
                </c:pt>
                <c:pt idx="71">
                  <c:v>235.52161676680771</c:v>
                </c:pt>
                <c:pt idx="72">
                  <c:v>239.71035133466907</c:v>
                </c:pt>
                <c:pt idx="73">
                  <c:v>243.90085678599715</c:v>
                </c:pt>
                <c:pt idx="74">
                  <c:v>248.09378340051884</c:v>
                </c:pt>
                <c:pt idx="75">
                  <c:v>252.28981228202034</c:v>
                </c:pt>
                <c:pt idx="76">
                  <c:v>256.48965263171345</c:v>
                </c:pt>
                <c:pt idx="77">
                  <c:v>260.6940392502641</c:v>
                </c:pt>
                <c:pt idx="78">
                  <c:v>264.90373024132282</c:v>
                </c:pt>
                <c:pt idx="79">
                  <c:v>269.11950489296282</c:v>
                </c:pt>
                <c:pt idx="80">
                  <c:v>273.34216171653924</c:v>
                </c:pt>
                <c:pt idx="81">
                  <c:v>277.57650358422808</c:v>
                </c:pt>
                <c:pt idx="82">
                  <c:v>281.82535158453322</c:v>
                </c:pt>
                <c:pt idx="83">
                  <c:v>286.08673171150474</c:v>
                </c:pt>
                <c:pt idx="84">
                  <c:v>290.35890545724021</c:v>
                </c:pt>
                <c:pt idx="85">
                  <c:v>294.64035375836335</c:v>
                </c:pt>
                <c:pt idx="86">
                  <c:v>298.92976207299262</c:v>
                </c:pt>
                <c:pt idx="87">
                  <c:v>303.22600652454679</c:v>
                </c:pt>
                <c:pt idx="88">
                  <c:v>307.52814104641584</c:v>
                </c:pt>
                <c:pt idx="89">
                  <c:v>311.83538546097805</c:v>
                </c:pt>
                <c:pt idx="90">
                  <c:v>316.14711442734426</c:v>
                </c:pt>
                <c:pt idx="91">
                  <c:v>320.46284719396311</c:v>
                </c:pt>
                <c:pt idx="92">
                  <c:v>324.78223809481261</c:v>
                </c:pt>
                <c:pt idx="93">
                  <c:v>329.10506773081676</c:v>
                </c:pt>
                <c:pt idx="94">
                  <c:v>333.43123478137869</c:v>
                </c:pt>
                <c:pt idx="95">
                  <c:v>337.76074839431618</c:v>
                </c:pt>
                <c:pt idx="96">
                  <c:v>342.09372110588976</c:v>
                </c:pt>
                <c:pt idx="97">
                  <c:v>346.43036224601229</c:v>
                </c:pt>
                <c:pt idx="98">
                  <c:v>350.7709717870087</c:v>
                </c:pt>
                <c:pt idx="99">
                  <c:v>355.11593459751032</c:v>
                </c:pt>
                <c:pt idx="100">
                  <c:v>359.46571506603846</c:v>
                </c:pt>
                <c:pt idx="101">
                  <c:v>363.82190679820008</c:v>
                </c:pt>
                <c:pt idx="102">
                  <c:v>368.18548687979052</c:v>
                </c:pt>
                <c:pt idx="103">
                  <c:v>372.55607340805113</c:v>
                </c:pt>
                <c:pt idx="104">
                  <c:v>376.93331239199466</c:v>
                </c:pt>
                <c:pt idx="105">
                  <c:v>381.31687621915546</c:v>
                </c:pt>
                <c:pt idx="106">
                  <c:v>385.70646221646035</c:v>
                </c:pt>
                <c:pt idx="107">
                  <c:v>390.10179129908585</c:v>
                </c:pt>
                <c:pt idx="108">
                  <c:v>394.50260670155029</c:v>
                </c:pt>
                <c:pt idx="109">
                  <c:v>398.90867278567129</c:v>
                </c:pt>
                <c:pt idx="110">
                  <c:v>403.31977392035549</c:v>
                </c:pt>
                <c:pt idx="111">
                  <c:v>407.73571342852603</c:v>
                </c:pt>
                <c:pt idx="112">
                  <c:v>412.15631259678935</c:v>
                </c:pt>
                <c:pt idx="113">
                  <c:v>416.58140974375709</c:v>
                </c:pt>
                <c:pt idx="114">
                  <c:v>421.01085934318576</c:v>
                </c:pt>
                <c:pt idx="115">
                  <c:v>425.44453119837942</c:v>
                </c:pt>
                <c:pt idx="116">
                  <c:v>429.88230966450902</c:v>
                </c:pt>
                <c:pt idx="117">
                  <c:v>434.3240929157763</c:v>
                </c:pt>
                <c:pt idx="118">
                  <c:v>438.76979225449156</c:v>
                </c:pt>
                <c:pt idx="119">
                  <c:v>443.21933145940739</c:v>
                </c:pt>
                <c:pt idx="120">
                  <c:v>447.67264617075347</c:v>
                </c:pt>
                <c:pt idx="121">
                  <c:v>452.12729426420145</c:v>
                </c:pt>
                <c:pt idx="122">
                  <c:v>456.58087296300795</c:v>
                </c:pt>
                <c:pt idx="123">
                  <c:v>461.03338700944812</c:v>
                </c:pt>
                <c:pt idx="124">
                  <c:v>465.4848431158764</c:v>
                </c:pt>
                <c:pt idx="125">
                  <c:v>469.93524987169525</c:v>
                </c:pt>
                <c:pt idx="126">
                  <c:v>474.3846176556022</c:v>
                </c:pt>
                <c:pt idx="127">
                  <c:v>478.83295855277402</c:v>
                </c:pt>
                <c:pt idx="128">
                  <c:v>483.28028627666225</c:v>
                </c:pt>
                <c:pt idx="129">
                  <c:v>487.72661609509538</c:v>
                </c:pt>
                <c:pt idx="130">
                  <c:v>492.17196476042005</c:v>
                </c:pt>
                <c:pt idx="131">
                  <c:v>496.61635044341199</c:v>
                </c:pt>
                <c:pt idx="132">
                  <c:v>501.05979267072939</c:v>
                </c:pt>
                <c:pt idx="133">
                  <c:v>505.50231226567973</c:v>
                </c:pt>
                <c:pt idx="134">
                  <c:v>509.94393129209266</c:v>
                </c:pt>
                <c:pt idx="135">
                  <c:v>514.38467300111506</c:v>
                </c:pt>
                <c:pt idx="136">
                  <c:v>518.82456178073835</c:v>
                </c:pt>
                <c:pt idx="137">
                  <c:v>523.26362310790125</c:v>
                </c:pt>
                <c:pt idx="138">
                  <c:v>527.70188350301021</c:v>
                </c:pt>
                <c:pt idx="139">
                  <c:v>532.1393704867296</c:v>
                </c:pt>
                <c:pt idx="140">
                  <c:v>536.57611253890957</c:v>
                </c:pt>
              </c:numCache>
            </c:numRef>
          </c:xVal>
          <c:yVal>
            <c:numRef>
              <c:f>Example!$H$2:$H$142</c:f>
              <c:numCache>
                <c:formatCode>General</c:formatCode>
                <c:ptCount val="141"/>
                <c:pt idx="0">
                  <c:v>0</c:v>
                </c:pt>
                <c:pt idx="1">
                  <c:v>49.964624498279001</c:v>
                </c:pt>
                <c:pt idx="2">
                  <c:v>99.918067405047196</c:v>
                </c:pt>
                <c:pt idx="3">
                  <c:v>149.85830724270301</c:v>
                </c:pt>
                <c:pt idx="4">
                  <c:v>199.78332306793899</c:v>
                </c:pt>
                <c:pt idx="5">
                  <c:v>249.69109455351901</c:v>
                </c:pt>
                <c:pt idx="6">
                  <c:v>299.57960207003703</c:v>
                </c:pt>
                <c:pt idx="7">
                  <c:v>349.43974633554802</c:v>
                </c:pt>
                <c:pt idx="8">
                  <c:v>399.25759378705698</c:v>
                </c:pt>
                <c:pt idx="9">
                  <c:v>449.02388010384101</c:v>
                </c:pt>
                <c:pt idx="10">
                  <c:v>498.729350553686</c:v>
                </c:pt>
                <c:pt idx="11">
                  <c:v>548.36476171393599</c:v>
                </c:pt>
                <c:pt idx="12">
                  <c:v>597.92088319042898</c:v>
                </c:pt>
                <c:pt idx="13">
                  <c:v>647.39429402583801</c:v>
                </c:pt>
                <c:pt idx="14">
                  <c:v>696.78245033896496</c:v>
                </c:pt>
                <c:pt idx="15">
                  <c:v>746.07745856035001</c:v>
                </c:pt>
                <c:pt idx="16">
                  <c:v>795.27144000812802</c:v>
                </c:pt>
                <c:pt idx="17">
                  <c:v>844.35653214726005</c:v>
                </c:pt>
                <c:pt idx="18">
                  <c:v>893.32488984617601</c:v>
                </c:pt>
                <c:pt idx="19">
                  <c:v>942.22007298239998</c:v>
                </c:pt>
                <c:pt idx="20">
                  <c:v>991.09065010849304</c:v>
                </c:pt>
                <c:pt idx="21">
                  <c:v>1039.9363030311199</c:v>
                </c:pt>
                <c:pt idx="22">
                  <c:v>1088.75671371925</c:v>
                </c:pt>
                <c:pt idx="23">
                  <c:v>1137.5515643061699</c:v>
                </c:pt>
                <c:pt idx="24">
                  <c:v>1186.32053709161</c:v>
                </c:pt>
                <c:pt idx="25">
                  <c:v>1235.0633145437801</c:v>
                </c:pt>
                <c:pt idx="26">
                  <c:v>1283.77957930144</c:v>
                </c:pt>
                <c:pt idx="27">
                  <c:v>1332.46901417599</c:v>
                </c:pt>
                <c:pt idx="28">
                  <c:v>1381.1313021535</c:v>
                </c:pt>
                <c:pt idx="29">
                  <c:v>1429.7661263968</c:v>
                </c:pt>
                <c:pt idx="30">
                  <c:v>1478.37317024754</c:v>
                </c:pt>
                <c:pt idx="31">
                  <c:v>1526.95211722824</c:v>
                </c:pt>
                <c:pt idx="32">
                  <c:v>1575.5026510443499</c:v>
                </c:pt>
                <c:pt idx="33">
                  <c:v>1624.0244555863301</c:v>
                </c:pt>
                <c:pt idx="34">
                  <c:v>1672.51721493169</c:v>
                </c:pt>
                <c:pt idx="35">
                  <c:v>1720.9806133470399</c:v>
                </c:pt>
                <c:pt idx="36">
                  <c:v>1769.4143352901799</c:v>
                </c:pt>
                <c:pt idx="37">
                  <c:v>1817.8180654121099</c:v>
                </c:pt>
                <c:pt idx="38">
                  <c:v>1866.19148855911</c:v>
                </c:pt>
                <c:pt idx="39">
                  <c:v>1914.5342897748001</c:v>
                </c:pt>
                <c:pt idx="40">
                  <c:v>1962.8461543021699</c:v>
                </c:pt>
                <c:pt idx="41">
                  <c:v>2011.13684420201</c:v>
                </c:pt>
                <c:pt idx="42">
                  <c:v>2059.4162995701499</c:v>
                </c:pt>
                <c:pt idx="43">
                  <c:v>2107.6844727809898</c:v>
                </c:pt>
                <c:pt idx="44">
                  <c:v>2155.9413162596802</c:v>
                </c:pt>
                <c:pt idx="45">
                  <c:v>2204.1867824829001</c:v>
                </c:pt>
                <c:pt idx="46">
                  <c:v>2252.4208239796899</c:v>
                </c:pt>
                <c:pt idx="47">
                  <c:v>2300.6433933322201</c:v>
                </c:pt>
                <c:pt idx="48">
                  <c:v>2348.8544431765999</c:v>
                </c:pt>
                <c:pt idx="49">
                  <c:v>2397.05392620362</c:v>
                </c:pt>
                <c:pt idx="50">
                  <c:v>2445.2417951595899</c:v>
                </c:pt>
                <c:pt idx="51">
                  <c:v>2493.4180028471101</c:v>
                </c:pt>
                <c:pt idx="52">
                  <c:v>2541.5825021258702</c:v>
                </c:pt>
                <c:pt idx="53">
                  <c:v>2589.7352459133799</c:v>
                </c:pt>
                <c:pt idx="54">
                  <c:v>2637.8761871858101</c:v>
                </c:pt>
                <c:pt idx="55">
                  <c:v>2686.0052789787801</c:v>
                </c:pt>
                <c:pt idx="56">
                  <c:v>2734.1224743880698</c:v>
                </c:pt>
                <c:pt idx="57">
                  <c:v>2782.2277265704602</c:v>
                </c:pt>
                <c:pt idx="58">
                  <c:v>2830.32098874449</c:v>
                </c:pt>
                <c:pt idx="59">
                  <c:v>2878.4022141912301</c:v>
                </c:pt>
                <c:pt idx="60">
                  <c:v>2926.4713562550601</c:v>
                </c:pt>
                <c:pt idx="61">
                  <c:v>2974.5352396246899</c:v>
                </c:pt>
                <c:pt idx="62">
                  <c:v>3022.59975461064</c:v>
                </c:pt>
                <c:pt idx="63">
                  <c:v>3070.6634529115699</c:v>
                </c:pt>
                <c:pt idx="64">
                  <c:v>3118.7248862507499</c:v>
                </c:pt>
                <c:pt idx="65">
                  <c:v>3166.7826064196802</c:v>
                </c:pt>
                <c:pt idx="66">
                  <c:v>3214.8351653217701</c:v>
                </c:pt>
                <c:pt idx="67">
                  <c:v>3262.8811150159199</c:v>
                </c:pt>
                <c:pt idx="68">
                  <c:v>3310.9190077602102</c:v>
                </c:pt>
                <c:pt idx="69">
                  <c:v>3358.9473960554901</c:v>
                </c:pt>
                <c:pt idx="70">
                  <c:v>3406.9648326889901</c:v>
                </c:pt>
                <c:pt idx="71">
                  <c:v>3454.9698707779498</c:v>
                </c:pt>
                <c:pt idx="72">
                  <c:v>3502.9610638132099</c:v>
                </c:pt>
                <c:pt idx="73">
                  <c:v>3550.9369657027901</c:v>
                </c:pt>
                <c:pt idx="74">
                  <c:v>3598.8961308154699</c:v>
                </c:pt>
                <c:pt idx="75">
                  <c:v>3646.8371140243498</c:v>
                </c:pt>
                <c:pt idx="76">
                  <c:v>3694.7584707504002</c:v>
                </c:pt>
                <c:pt idx="77">
                  <c:v>3742.6587570059801</c:v>
                </c:pt>
                <c:pt idx="78">
                  <c:v>3790.53652943836</c:v>
                </c:pt>
                <c:pt idx="79">
                  <c:v>3838.3903453732</c:v>
                </c:pt>
                <c:pt idx="80">
                  <c:v>3886.21876285802</c:v>
                </c:pt>
                <c:pt idx="81">
                  <c:v>3934.0472857642299</c:v>
                </c:pt>
                <c:pt idx="82">
                  <c:v>3981.90054932358</c:v>
                </c:pt>
                <c:pt idx="83">
                  <c:v>4029.77580815069</c:v>
                </c:pt>
                <c:pt idx="84">
                  <c:v>4077.67031559826</c:v>
                </c:pt>
                <c:pt idx="85">
                  <c:v>4125.5813239147101</c:v>
                </c:pt>
                <c:pt idx="86">
                  <c:v>4173.5060844017898</c:v>
                </c:pt>
                <c:pt idx="87">
                  <c:v>4221.4418475722396</c:v>
                </c:pt>
                <c:pt idx="88">
                  <c:v>4269.3858633076197</c:v>
                </c:pt>
                <c:pt idx="89">
                  <c:v>4317.3353810159797</c:v>
                </c:pt>
                <c:pt idx="90">
                  <c:v>4365.2876497897596</c:v>
                </c:pt>
                <c:pt idx="91">
                  <c:v>4413.2399185635304</c:v>
                </c:pt>
                <c:pt idx="92">
                  <c:v>4461.1894362718904</c:v>
                </c:pt>
                <c:pt idx="93">
                  <c:v>4509.1334520072696</c:v>
                </c:pt>
                <c:pt idx="94">
                  <c:v>4557.0692151777303</c:v>
                </c:pt>
                <c:pt idx="95">
                  <c:v>4604.9939756648</c:v>
                </c:pt>
                <c:pt idx="96">
                  <c:v>4652.9049839812496</c:v>
                </c:pt>
                <c:pt idx="97">
                  <c:v>4700.7994914288302</c:v>
                </c:pt>
                <c:pt idx="98">
                  <c:v>4748.6747502559301</c:v>
                </c:pt>
                <c:pt idx="99">
                  <c:v>4796.5280138152802</c:v>
                </c:pt>
                <c:pt idx="100">
                  <c:v>4844.3565367214896</c:v>
                </c:pt>
                <c:pt idx="101">
                  <c:v>4892.1732758173603</c:v>
                </c:pt>
                <c:pt idx="102">
                  <c:v>4939.9928104697601</c:v>
                </c:pt>
                <c:pt idx="103">
                  <c:v>4987.8148301070296</c:v>
                </c:pt>
                <c:pt idx="104">
                  <c:v>5035.6390241413701</c:v>
                </c:pt>
                <c:pt idx="105">
                  <c:v>5083.4650819708504</c:v>
                </c:pt>
                <c:pt idx="106">
                  <c:v>5131.2926929814403</c:v>
                </c:pt>
                <c:pt idx="107">
                  <c:v>5179.1215465490304</c:v>
                </c:pt>
                <c:pt idx="108">
                  <c:v>5226.9513320414198</c:v>
                </c:pt>
                <c:pt idx="109">
                  <c:v>5274.7817388203803</c:v>
                </c:pt>
                <c:pt idx="110">
                  <c:v>5322.6124562436398</c:v>
                </c:pt>
                <c:pt idx="111">
                  <c:v>5370.4431736668903</c:v>
                </c:pt>
                <c:pt idx="112">
                  <c:v>5418.2735804458498</c:v>
                </c:pt>
                <c:pt idx="113">
                  <c:v>5466.1033659382401</c:v>
                </c:pt>
                <c:pt idx="114">
                  <c:v>5513.9322195058303</c:v>
                </c:pt>
                <c:pt idx="115">
                  <c:v>5561.7598305164202</c:v>
                </c:pt>
                <c:pt idx="116">
                  <c:v>5609.5858883458995</c:v>
                </c:pt>
                <c:pt idx="117">
                  <c:v>5657.4100823802401</c:v>
                </c:pt>
                <c:pt idx="118">
                  <c:v>5705.2321020175104</c:v>
                </c:pt>
                <c:pt idx="119">
                  <c:v>5753.0516366699103</c:v>
                </c:pt>
                <c:pt idx="120">
                  <c:v>5800.86837576578</c:v>
                </c:pt>
                <c:pt idx="121">
                  <c:v>5848.6839894798504</c:v>
                </c:pt>
                <c:pt idx="122">
                  <c:v>5896.5003031775796</c:v>
                </c:pt>
                <c:pt idx="123">
                  <c:v>5944.3172390858799</c:v>
                </c:pt>
                <c:pt idx="124">
                  <c:v>5992.13471943064</c:v>
                </c:pt>
                <c:pt idx="125">
                  <c:v>6039.9526664368695</c:v>
                </c:pt>
                <c:pt idx="126">
                  <c:v>6087.77100232881</c:v>
                </c:pt>
                <c:pt idx="127">
                  <c:v>6135.5896493300797</c:v>
                </c:pt>
                <c:pt idx="128">
                  <c:v>6183.4085296638004</c:v>
                </c:pt>
                <c:pt idx="129">
                  <c:v>6231.2275655526901</c:v>
                </c:pt>
                <c:pt idx="130">
                  <c:v>6279.0466792192201</c:v>
                </c:pt>
                <c:pt idx="131">
                  <c:v>6326.8657928857601</c:v>
                </c:pt>
                <c:pt idx="132">
                  <c:v>6374.6848287746498</c:v>
                </c:pt>
                <c:pt idx="133">
                  <c:v>6422.5037091083605</c:v>
                </c:pt>
                <c:pt idx="134">
                  <c:v>6470.3223561096402</c:v>
                </c:pt>
                <c:pt idx="135">
                  <c:v>6518.1406920015797</c:v>
                </c:pt>
                <c:pt idx="136">
                  <c:v>6565.9586390078002</c:v>
                </c:pt>
                <c:pt idx="137">
                  <c:v>6613.7761193525603</c:v>
                </c:pt>
                <c:pt idx="138">
                  <c:v>6661.5930552608597</c:v>
                </c:pt>
                <c:pt idx="139">
                  <c:v>6709.4093689585898</c:v>
                </c:pt>
                <c:pt idx="140">
                  <c:v>6757.2249826726602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9264128"/>
        <c:axId val="1179264704"/>
      </c:scatterChart>
      <c:valAx>
        <c:axId val="1179264128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nextTo"/>
        <c:crossAx val="1179264704"/>
        <c:crosses val="autoZero"/>
        <c:crossBetween val="midCat"/>
      </c:valAx>
      <c:valAx>
        <c:axId val="1179264704"/>
        <c:scaling>
          <c:orientation val="maxMin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926412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257175</xdr:colOff>
      <xdr:row>25</xdr:row>
      <xdr:rowOff>19050</xdr:rowOff>
    </xdr:from>
    <xdr:to>
      <xdr:col>23</xdr:col>
      <xdr:colOff>561975</xdr:colOff>
      <xdr:row>40</xdr:row>
      <xdr:rowOff>57150</xdr:rowOff>
    </xdr:to>
    <xdr:pic>
      <xdr:nvPicPr>
        <xdr:cNvPr id="2" name="Picture 1" descr="File:Devol2 1102final Page 275 Image 0001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82075" y="4067175"/>
          <a:ext cx="7620000" cy="2466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542925</xdr:colOff>
      <xdr:row>4</xdr:row>
      <xdr:rowOff>9525</xdr:rowOff>
    </xdr:from>
    <xdr:to>
      <xdr:col>17</xdr:col>
      <xdr:colOff>304800</xdr:colOff>
      <xdr:row>22</xdr:row>
      <xdr:rowOff>19050</xdr:rowOff>
    </xdr:to>
    <xdr:pic>
      <xdr:nvPicPr>
        <xdr:cNvPr id="3" name="Picture 2" descr="http://www.drillingformulas.com/wp-content/uploads/2010/08/Minimum-Curvature-Method.jp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8225" y="657225"/>
          <a:ext cx="4029075" cy="2924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495299</xdr:colOff>
      <xdr:row>17</xdr:row>
      <xdr:rowOff>19050</xdr:rowOff>
    </xdr:from>
    <xdr:to>
      <xdr:col>19</xdr:col>
      <xdr:colOff>323848</xdr:colOff>
      <xdr:row>33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9525</xdr:colOff>
      <xdr:row>17</xdr:row>
      <xdr:rowOff>19050</xdr:rowOff>
    </xdr:from>
    <xdr:to>
      <xdr:col>10</xdr:col>
      <xdr:colOff>314325</xdr:colOff>
      <xdr:row>34</xdr:row>
      <xdr:rowOff>9525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409574</xdr:colOff>
      <xdr:row>17</xdr:row>
      <xdr:rowOff>0</xdr:rowOff>
    </xdr:from>
    <xdr:to>
      <xdr:col>17</xdr:col>
      <xdr:colOff>238123</xdr:colOff>
      <xdr:row>33</xdr:row>
      <xdr:rowOff>95250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495300</xdr:colOff>
      <xdr:row>16</xdr:row>
      <xdr:rowOff>95250</xdr:rowOff>
    </xdr:from>
    <xdr:to>
      <xdr:col>8</xdr:col>
      <xdr:colOff>190500</xdr:colOff>
      <xdr:row>33</xdr:row>
      <xdr:rowOff>85725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109537</xdr:colOff>
      <xdr:row>21</xdr:row>
      <xdr:rowOff>90487</xdr:rowOff>
    </xdr:from>
    <xdr:to>
      <xdr:col>14</xdr:col>
      <xdr:colOff>457200</xdr:colOff>
      <xdr:row>36</xdr:row>
      <xdr:rowOff>90487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38</xdr:row>
      <xdr:rowOff>0</xdr:rowOff>
    </xdr:from>
    <xdr:to>
      <xdr:col>15</xdr:col>
      <xdr:colOff>57150</xdr:colOff>
      <xdr:row>54</xdr:row>
      <xdr:rowOff>152400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519112</xdr:colOff>
      <xdr:row>1</xdr:row>
      <xdr:rowOff>0</xdr:rowOff>
    </xdr:from>
    <xdr:to>
      <xdr:col>17</xdr:col>
      <xdr:colOff>214312</xdr:colOff>
      <xdr:row>99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drillingformulas.com/minimum-curvature-method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25"/>
  <sheetViews>
    <sheetView showGridLines="0" tabSelected="1" workbookViewId="0">
      <selection activeCell="D12" sqref="D12"/>
    </sheetView>
  </sheetViews>
  <sheetFormatPr defaultRowHeight="12.75" x14ac:dyDescent="0.2"/>
  <cols>
    <col min="1" max="1" width="30" bestFit="1" customWidth="1"/>
    <col min="2" max="2" width="8.7109375" customWidth="1"/>
    <col min="4" max="4" width="13.140625" bestFit="1" customWidth="1"/>
    <col min="6" max="6" width="19" bestFit="1" customWidth="1"/>
  </cols>
  <sheetData>
    <row r="1" spans="1:6" x14ac:dyDescent="0.2">
      <c r="A1" s="1" t="s">
        <v>4</v>
      </c>
    </row>
    <row r="3" spans="1:6" x14ac:dyDescent="0.2">
      <c r="B3" t="s">
        <v>2</v>
      </c>
      <c r="C3" t="s">
        <v>3</v>
      </c>
      <c r="F3" s="2" t="s">
        <v>0</v>
      </c>
    </row>
    <row r="4" spans="1:6" x14ac:dyDescent="0.2">
      <c r="A4" s="11" t="s">
        <v>9</v>
      </c>
      <c r="B4" s="8">
        <v>200</v>
      </c>
      <c r="C4" s="8">
        <v>300</v>
      </c>
      <c r="F4" s="3" t="s">
        <v>1</v>
      </c>
    </row>
    <row r="5" spans="1:6" x14ac:dyDescent="0.2">
      <c r="A5" s="11" t="s">
        <v>10</v>
      </c>
      <c r="B5" s="8">
        <v>1</v>
      </c>
      <c r="C5" s="8">
        <v>22</v>
      </c>
      <c r="F5" s="9" t="s">
        <v>5</v>
      </c>
    </row>
    <row r="6" spans="1:6" x14ac:dyDescent="0.2">
      <c r="A6" s="11" t="s">
        <v>11</v>
      </c>
      <c r="B6" s="8">
        <v>30</v>
      </c>
      <c r="C6" s="8">
        <v>44</v>
      </c>
      <c r="F6" s="10" t="s">
        <v>6</v>
      </c>
    </row>
    <row r="7" spans="1:6" x14ac:dyDescent="0.2">
      <c r="A7" s="11"/>
      <c r="B7" s="11" t="s">
        <v>16</v>
      </c>
      <c r="C7" s="4"/>
      <c r="D7" s="6" t="s">
        <v>15</v>
      </c>
    </row>
    <row r="8" spans="1:6" x14ac:dyDescent="0.2">
      <c r="A8" s="11" t="s">
        <v>32</v>
      </c>
      <c r="B8" s="5">
        <f>ACOS(COS((C5-B5)*(PI()/180))-(SIN(B5*(PI()/180))*SIN(C5*(PI()/180))*(1-COS((C6-B6)*(PI()/180)))))</f>
        <v>0.36706066268048754</v>
      </c>
      <c r="C8" s="6" t="s">
        <v>12</v>
      </c>
      <c r="D8" s="5">
        <f>DOGLEG_ANG(B5,B6,C5,C6)</f>
        <v>21.031026796867017</v>
      </c>
      <c r="E8" s="12" t="s">
        <v>14</v>
      </c>
    </row>
    <row r="9" spans="1:6" x14ac:dyDescent="0.2">
      <c r="A9" s="11" t="s">
        <v>13</v>
      </c>
      <c r="B9" s="5">
        <f>IF(B8=0,1,(2/B8)*TAN(B8/2))</f>
        <v>1.0113811612091241</v>
      </c>
      <c r="D9" s="5">
        <f>RATIOFACTOR(DOGLEG_ANG(B5,B6,C5,C6))</f>
        <v>1.0113811612091235</v>
      </c>
    </row>
    <row r="10" spans="1:6" x14ac:dyDescent="0.2">
      <c r="A10" s="11" t="s">
        <v>77</v>
      </c>
      <c r="B10" s="5">
        <f>(C4-B4)/2*((SIN(B5*(PI()/180))*COS(B6*(PI()/180)))+(SIN(C5*(PI()/180))*COS(C6*(PI()/180))))*B9</f>
        <v>14.391127597541567</v>
      </c>
      <c r="C10" s="6" t="s">
        <v>7</v>
      </c>
      <c r="D10" s="5">
        <f>NORTHING_DY(B4,B5,B6,C4,C5,C6,D9)</f>
        <v>13.600538504855948</v>
      </c>
      <c r="E10" s="6" t="s">
        <v>7</v>
      </c>
    </row>
    <row r="11" spans="1:6" x14ac:dyDescent="0.2">
      <c r="A11" s="11" t="s">
        <v>78</v>
      </c>
      <c r="B11" s="5">
        <f>(C4-B4)/2*((SIN(B5*(PI()/180))*SIN(B6*(PI()/180)))+(SIN(C5*(PI()/180))*SIN(C6*(PI()/180))))*B9</f>
        <v>13.600538504855965</v>
      </c>
      <c r="C11" s="6" t="s">
        <v>7</v>
      </c>
      <c r="D11" s="5">
        <f>EASTING_DX(B4,B5,B6,C4,C5,C6,B9)</f>
        <v>14.391127597541566</v>
      </c>
      <c r="E11" s="6" t="s">
        <v>7</v>
      </c>
    </row>
    <row r="12" spans="1:6" x14ac:dyDescent="0.2">
      <c r="A12" s="11" t="s">
        <v>8</v>
      </c>
      <c r="B12" s="5">
        <f>(C4-B4)/2*(COS(B5*(PI()/180))+COS(C5*(PI()/180)))*B9</f>
        <v>97.448170322282323</v>
      </c>
      <c r="C12" s="6" t="s">
        <v>7</v>
      </c>
      <c r="D12" s="5">
        <f>VERTICAL_DZ(B4,B5,C4,C5,B9)</f>
        <v>97.448170322282323</v>
      </c>
      <c r="E12" s="6" t="s">
        <v>7</v>
      </c>
    </row>
    <row r="14" spans="1:6" x14ac:dyDescent="0.2">
      <c r="A14" s="6" t="s">
        <v>33</v>
      </c>
      <c r="D14">
        <f>30*D8/(C4-B4)</f>
        <v>6.3093080390601051</v>
      </c>
    </row>
    <row r="18" spans="1:3" x14ac:dyDescent="0.2">
      <c r="A18" s="6"/>
    </row>
    <row r="19" spans="1:3" x14ac:dyDescent="0.2">
      <c r="A19" s="11"/>
      <c r="C19" s="13"/>
    </row>
    <row r="20" spans="1:3" x14ac:dyDescent="0.2">
      <c r="A20" s="6"/>
      <c r="C20" s="13"/>
    </row>
    <row r="21" spans="1:3" x14ac:dyDescent="0.2">
      <c r="A21" s="11"/>
      <c r="C21" s="13"/>
    </row>
    <row r="22" spans="1:3" x14ac:dyDescent="0.2">
      <c r="A22" s="11"/>
      <c r="C22" s="13"/>
    </row>
    <row r="23" spans="1:3" x14ac:dyDescent="0.2">
      <c r="A23" s="11"/>
      <c r="C23" s="13"/>
    </row>
    <row r="24" spans="1:3" x14ac:dyDescent="0.2">
      <c r="C24" s="13"/>
    </row>
    <row r="25" spans="1:3" x14ac:dyDescent="0.2">
      <c r="C25" s="13"/>
    </row>
  </sheetData>
  <sheetProtection selectLockedCells="1"/>
  <phoneticPr fontId="20" type="noConversion"/>
  <hyperlinks>
    <hyperlink ref="F6" r:id="rId1"/>
  </hyperlinks>
  <pageMargins left="0.75" right="0.75" top="1" bottom="1" header="0.5" footer="0.5"/>
  <pageSetup orientation="portrait" r:id="rId2"/>
  <headerFooter alignWithMargins="0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E73"/>
  <sheetViews>
    <sheetView workbookViewId="0">
      <selection activeCell="N14" sqref="N14"/>
    </sheetView>
  </sheetViews>
  <sheetFormatPr defaultRowHeight="12.75" x14ac:dyDescent="0.2"/>
  <sheetData>
    <row r="1" spans="1:31" x14ac:dyDescent="0.2">
      <c r="A1" s="6" t="s">
        <v>18</v>
      </c>
      <c r="B1" s="6" t="s">
        <v>17</v>
      </c>
      <c r="C1" s="6" t="s">
        <v>19</v>
      </c>
      <c r="D1" s="6" t="s">
        <v>20</v>
      </c>
      <c r="F1" s="6" t="s">
        <v>34</v>
      </c>
      <c r="G1" s="6" t="s">
        <v>23</v>
      </c>
      <c r="H1" s="6" t="s">
        <v>76</v>
      </c>
      <c r="I1" s="6" t="s">
        <v>75</v>
      </c>
      <c r="J1" s="6" t="s">
        <v>24</v>
      </c>
      <c r="K1" s="6" t="s">
        <v>26</v>
      </c>
      <c r="L1" s="6" t="s">
        <v>25</v>
      </c>
      <c r="M1" s="6" t="s">
        <v>27</v>
      </c>
      <c r="P1" s="6" t="s">
        <v>28</v>
      </c>
      <c r="Q1" s="6" t="s">
        <v>29</v>
      </c>
      <c r="R1" s="6" t="s">
        <v>30</v>
      </c>
      <c r="S1" s="6" t="s">
        <v>31</v>
      </c>
      <c r="U1" s="6" t="s">
        <v>17</v>
      </c>
      <c r="V1" s="6" t="s">
        <v>19</v>
      </c>
      <c r="W1" s="6" t="s">
        <v>20</v>
      </c>
      <c r="X1" s="6" t="s">
        <v>22</v>
      </c>
      <c r="Y1" s="6" t="s">
        <v>23</v>
      </c>
      <c r="Z1" s="6" t="s">
        <v>75</v>
      </c>
      <c r="AA1" s="6" t="s">
        <v>76</v>
      </c>
      <c r="AB1" s="6" t="s">
        <v>24</v>
      </c>
      <c r="AC1" s="6" t="s">
        <v>25</v>
      </c>
      <c r="AD1" s="6" t="s">
        <v>26</v>
      </c>
      <c r="AE1" s="6" t="s">
        <v>27</v>
      </c>
    </row>
    <row r="2" spans="1:31" x14ac:dyDescent="0.2">
      <c r="P2" s="13">
        <v>100</v>
      </c>
      <c r="Q2" s="13">
        <f t="shared" ref="Q2:Q10" si="0">B4-B3</f>
        <v>300</v>
      </c>
      <c r="R2" s="13">
        <f t="shared" ref="R2:R10" si="1">(C4-C3)/$Q2*$P$2</f>
        <v>0.66666666666666674</v>
      </c>
      <c r="S2" s="13">
        <f t="shared" ref="S2:S10" si="2">(D4-D3)/$Q2*$P$2</f>
        <v>-6</v>
      </c>
    </row>
    <row r="3" spans="1:31" x14ac:dyDescent="0.2">
      <c r="A3">
        <v>1</v>
      </c>
      <c r="B3">
        <v>3000</v>
      </c>
      <c r="C3">
        <v>2</v>
      </c>
      <c r="D3">
        <v>28</v>
      </c>
      <c r="F3" s="13"/>
      <c r="G3" s="13"/>
      <c r="H3" s="13">
        <v>0</v>
      </c>
      <c r="I3" s="13">
        <v>0</v>
      </c>
      <c r="J3" s="13">
        <v>0</v>
      </c>
      <c r="P3" s="13"/>
      <c r="Q3" s="13">
        <f t="shared" si="0"/>
        <v>300</v>
      </c>
      <c r="R3" s="13">
        <f t="shared" si="1"/>
        <v>1.3333333333333335</v>
      </c>
      <c r="S3" s="13">
        <f t="shared" si="2"/>
        <v>8.3333333333333321</v>
      </c>
      <c r="U3">
        <v>3000</v>
      </c>
      <c r="V3">
        <f>2</f>
        <v>2</v>
      </c>
      <c r="W3">
        <v>28</v>
      </c>
      <c r="Z3" s="13">
        <v>0</v>
      </c>
      <c r="AA3" s="13">
        <v>0</v>
      </c>
      <c r="AB3" s="13">
        <v>3000</v>
      </c>
    </row>
    <row r="4" spans="1:31" x14ac:dyDescent="0.2">
      <c r="A4">
        <v>2</v>
      </c>
      <c r="B4">
        <v>3300</v>
      </c>
      <c r="C4">
        <v>4</v>
      </c>
      <c r="D4">
        <v>10</v>
      </c>
      <c r="F4" s="13">
        <f t="shared" ref="F4:F12" si="3">DOGLEG_ANG(C3,D3,C4,D4)</f>
        <v>2.186887129862304</v>
      </c>
      <c r="G4" s="7">
        <f>RATIOFACTOR(F4)</f>
        <v>1.0001214197964254</v>
      </c>
      <c r="H4" s="13">
        <f t="shared" ref="H4:H12" si="4">EASTING_DX(B3,C3,D3,B4,C4,D4,G4)*$H$15</f>
        <v>4.5502018650212577</v>
      </c>
      <c r="I4" s="13">
        <f t="shared" ref="I4:I12" si="5">NORTHING_DY(B3,C3,D3,B4,C4,D4,G4)*$H$15</f>
        <v>1.3030595913580794</v>
      </c>
      <c r="J4" s="13">
        <f t="shared" ref="J4:J12" si="6">VERTICAL_DZ(B3,C3,B4,C4,G4)</f>
        <v>299.5796020700385</v>
      </c>
      <c r="K4" s="13">
        <f>SUM(H$2:H4)</f>
        <v>4.5502018650212577</v>
      </c>
      <c r="L4" s="13">
        <f>SUM(I$2:I4)</f>
        <v>1.3030595913580794</v>
      </c>
      <c r="M4" s="13">
        <f>SUM(J$2:J4)</f>
        <v>299.5796020700385</v>
      </c>
      <c r="Q4" s="13">
        <f t="shared" si="0"/>
        <v>300</v>
      </c>
      <c r="R4" s="13">
        <f t="shared" si="1"/>
        <v>1.3333333333333335</v>
      </c>
      <c r="S4" s="13">
        <f t="shared" si="2"/>
        <v>-3.3333333333333335</v>
      </c>
      <c r="U4">
        <v>3100</v>
      </c>
      <c r="V4" s="13">
        <f t="shared" ref="V4:W6" si="7">V3+R$2</f>
        <v>2.666666666666667</v>
      </c>
      <c r="W4" s="13">
        <f t="shared" si="7"/>
        <v>22</v>
      </c>
      <c r="X4" s="13">
        <f t="shared" ref="X4:X35" si="8">DOGLEG_ANG(V3,W3,V4,W4)</f>
        <v>0.70911635834693587</v>
      </c>
      <c r="Y4" s="13">
        <f t="shared" ref="Y4:Y67" si="9">RATIOFACTOR(X4)</f>
        <v>1.0000127648333612</v>
      </c>
      <c r="Z4" s="13">
        <f>NORTHING_DY(U3,V3,W3,U4,V4,W4,Y4)*$H$15</f>
        <v>0.51531684975252723</v>
      </c>
      <c r="AA4" s="13">
        <f>EASTING_DX(U3,V3,W3,U4,V4,W4,Y4)*$H$15</f>
        <v>1.1270420266553247</v>
      </c>
      <c r="AB4" s="13">
        <f>VERTICAL_DZ(U3,V3,U4,V4,Y4)</f>
        <v>99.916672321272884</v>
      </c>
      <c r="AC4" s="13">
        <f>SUM(Z$3:Z4)</f>
        <v>0.51531684975252723</v>
      </c>
      <c r="AD4" s="13">
        <f>SUM(AA$3:AA4)</f>
        <v>1.1270420266553247</v>
      </c>
      <c r="AE4" s="13">
        <f>SUM(AB$3:AB4)</f>
        <v>3099.9166723212729</v>
      </c>
    </row>
    <row r="5" spans="1:31" x14ac:dyDescent="0.2">
      <c r="A5">
        <v>3</v>
      </c>
      <c r="B5">
        <v>3600</v>
      </c>
      <c r="C5">
        <v>8</v>
      </c>
      <c r="D5">
        <v>35</v>
      </c>
      <c r="F5" s="13">
        <f t="shared" si="3"/>
        <v>4.6880427088654484</v>
      </c>
      <c r="G5" s="7">
        <f t="shared" ref="G5:G12" si="10">RATIOFACTOR(F5)</f>
        <v>1.0005582740735233</v>
      </c>
      <c r="H5" s="13">
        <f t="shared" si="4"/>
        <v>8.3577368544897688</v>
      </c>
      <c r="I5" s="13">
        <f t="shared" si="5"/>
        <v>4.2058204397943131</v>
      </c>
      <c r="J5" s="13">
        <f t="shared" si="6"/>
        <v>298.34128112039247</v>
      </c>
      <c r="K5" s="13">
        <f>SUM(H$2:H5)</f>
        <v>12.907938719511026</v>
      </c>
      <c r="L5" s="13">
        <f>SUM(I$2:I5)</f>
        <v>5.5088800311523922</v>
      </c>
      <c r="M5" s="13">
        <f>SUM(J$2:J5)</f>
        <v>597.92088319043091</v>
      </c>
      <c r="Q5" s="13">
        <f t="shared" si="0"/>
        <v>1100</v>
      </c>
      <c r="R5" s="13">
        <f t="shared" si="1"/>
        <v>0.27272727272727276</v>
      </c>
      <c r="S5" s="13">
        <f t="shared" si="2"/>
        <v>0.45454545454545453</v>
      </c>
      <c r="U5">
        <v>3200</v>
      </c>
      <c r="V5" s="13">
        <f t="shared" si="7"/>
        <v>3.3333333333333339</v>
      </c>
      <c r="W5" s="13">
        <f t="shared" si="7"/>
        <v>16</v>
      </c>
      <c r="X5" s="13">
        <f t="shared" si="8"/>
        <v>0.7360335199714938</v>
      </c>
      <c r="Y5" s="13">
        <f t="shared" si="9"/>
        <v>1.0000137523159827</v>
      </c>
      <c r="Z5" s="13">
        <f t="shared" ref="Z5:Z68" si="11">NORTHING_DY(U4,V4,W4,U5,V5,W5,Y5)*$H$15</f>
        <v>0.50986998402185491</v>
      </c>
      <c r="AA5" s="13">
        <f t="shared" ref="AA5:AA68" si="12">EASTING_DX(U4,V4,W4,U5,V5,W5,Y5)*$H$15</f>
        <v>1.5092366620536655</v>
      </c>
      <c r="AB5" s="13">
        <f t="shared" ref="AB5:AB68" si="13">VERTICAL_DZ(U4,V4,U5,V5,Y5)</f>
        <v>99.862636804139456</v>
      </c>
      <c r="AC5" s="13">
        <f>SUM(Z$3:Z5)</f>
        <v>1.0251868337743821</v>
      </c>
      <c r="AD5" s="13">
        <f>SUM(AA$3:AA5)</f>
        <v>2.6362786887089902</v>
      </c>
      <c r="AE5" s="13">
        <f>SUM(AB$3:AB5)</f>
        <v>3199.7793091254125</v>
      </c>
    </row>
    <row r="6" spans="1:31" x14ac:dyDescent="0.2">
      <c r="A6">
        <v>4</v>
      </c>
      <c r="B6">
        <v>3900</v>
      </c>
      <c r="C6">
        <v>12</v>
      </c>
      <c r="D6">
        <v>25</v>
      </c>
      <c r="F6" s="13">
        <f t="shared" si="3"/>
        <v>4.3461237234928598</v>
      </c>
      <c r="G6" s="7">
        <f t="shared" si="10"/>
        <v>1.0004797639598821</v>
      </c>
      <c r="H6" s="13">
        <f t="shared" si="4"/>
        <v>13.834003887730384</v>
      </c>
      <c r="I6" s="13">
        <f t="shared" si="5"/>
        <v>7.6706337741458572</v>
      </c>
      <c r="J6" s="13">
        <f t="shared" si="6"/>
        <v>295.40400665574862</v>
      </c>
      <c r="K6" s="13">
        <f>SUM(H$2:H6)</f>
        <v>26.741942607241413</v>
      </c>
      <c r="L6" s="13">
        <f>SUM(I$2:I6)</f>
        <v>13.179513805298249</v>
      </c>
      <c r="M6" s="13">
        <f>SUM(J$2:J6)</f>
        <v>893.32488984617953</v>
      </c>
      <c r="Q6" s="13">
        <f t="shared" si="0"/>
        <v>1000</v>
      </c>
      <c r="R6" s="13">
        <f t="shared" si="1"/>
        <v>0.1</v>
      </c>
      <c r="S6" s="13">
        <f t="shared" si="2"/>
        <v>-0.2</v>
      </c>
      <c r="U6">
        <v>3300</v>
      </c>
      <c r="V6" s="13">
        <f t="shared" si="7"/>
        <v>4.0000000000000009</v>
      </c>
      <c r="W6" s="13">
        <f t="shared" si="7"/>
        <v>10</v>
      </c>
      <c r="X6" s="13">
        <f t="shared" si="8"/>
        <v>0.76832942493876066</v>
      </c>
      <c r="Y6" s="13">
        <f t="shared" si="9"/>
        <v>1.000014985672268</v>
      </c>
      <c r="Z6" s="13">
        <f t="shared" si="11"/>
        <v>0.42885959142073365</v>
      </c>
      <c r="AA6" s="13">
        <f t="shared" si="12"/>
        <v>1.8987665362081294</v>
      </c>
      <c r="AB6" s="13">
        <f t="shared" si="13"/>
        <v>99.795105900894896</v>
      </c>
      <c r="AC6" s="13">
        <f>SUM(Z$3:Z6)</f>
        <v>1.4540464251951157</v>
      </c>
      <c r="AD6" s="13">
        <f>SUM(AA$3:AA6)</f>
        <v>4.5350452249171198</v>
      </c>
      <c r="AE6" s="13">
        <f>SUM(AB$3:AB6)</f>
        <v>3299.5744150263072</v>
      </c>
    </row>
    <row r="7" spans="1:31" x14ac:dyDescent="0.2">
      <c r="A7">
        <v>5</v>
      </c>
      <c r="B7">
        <v>5000</v>
      </c>
      <c r="C7">
        <v>15</v>
      </c>
      <c r="D7">
        <v>30</v>
      </c>
      <c r="F7" s="13">
        <f t="shared" si="3"/>
        <v>3.2163791042704877</v>
      </c>
      <c r="G7" s="7">
        <f t="shared" si="10"/>
        <v>1.0002626907825272</v>
      </c>
      <c r="H7" s="13">
        <f t="shared" si="4"/>
        <v>69.182384706063743</v>
      </c>
      <c r="I7" s="13">
        <f t="shared" si="5"/>
        <v>36.433851061963196</v>
      </c>
      <c r="J7" s="13">
        <f t="shared" si="6"/>
        <v>1069.5212644559899</v>
      </c>
      <c r="K7" s="13">
        <f>SUM(H$2:H7)</f>
        <v>95.924327313305156</v>
      </c>
      <c r="L7" s="13">
        <f>SUM(I$2:I7)</f>
        <v>49.613364867261446</v>
      </c>
      <c r="M7" s="13">
        <f>SUM(J$2:J7)</f>
        <v>1962.8461543021695</v>
      </c>
      <c r="Q7" s="13">
        <f t="shared" si="0"/>
        <v>1000</v>
      </c>
      <c r="R7" s="13">
        <f t="shared" si="1"/>
        <v>0.1</v>
      </c>
      <c r="S7" s="13">
        <f t="shared" si="2"/>
        <v>2.1999999999999997</v>
      </c>
      <c r="U7">
        <v>3400</v>
      </c>
      <c r="V7" s="13">
        <f t="shared" ref="V7:W9" si="14">V6+R$3</f>
        <v>5.3333333333333339</v>
      </c>
      <c r="W7" s="13">
        <f t="shared" si="14"/>
        <v>18.333333333333332</v>
      </c>
      <c r="X7" s="13">
        <f t="shared" si="8"/>
        <v>1.4924134705942942</v>
      </c>
      <c r="Y7" s="13">
        <f t="shared" si="9"/>
        <v>1.0000565433163131</v>
      </c>
      <c r="Z7" s="13">
        <f t="shared" si="11"/>
        <v>0.63020926461730142</v>
      </c>
      <c r="AA7" s="13">
        <f t="shared" si="12"/>
        <v>2.3917284318163672</v>
      </c>
      <c r="AB7" s="13">
        <f t="shared" si="13"/>
        <v>99.667377250886219</v>
      </c>
      <c r="AC7" s="13">
        <f>SUM(Z$3:Z7)</f>
        <v>2.0842556898124172</v>
      </c>
      <c r="AD7" s="13">
        <f>SUM(AA$3:AA7)</f>
        <v>6.926773656733487</v>
      </c>
      <c r="AE7" s="13">
        <f>SUM(AB$3:AB7)</f>
        <v>3399.2417922771933</v>
      </c>
    </row>
    <row r="8" spans="1:31" x14ac:dyDescent="0.2">
      <c r="A8">
        <v>6</v>
      </c>
      <c r="B8">
        <v>6000</v>
      </c>
      <c r="C8">
        <v>16</v>
      </c>
      <c r="D8">
        <v>28</v>
      </c>
      <c r="F8" s="13">
        <f t="shared" si="3"/>
        <v>1.1337320531954445</v>
      </c>
      <c r="G8" s="7">
        <f t="shared" si="10"/>
        <v>1.000032629569541</v>
      </c>
      <c r="H8" s="13">
        <f t="shared" si="4"/>
        <v>71.251947322776573</v>
      </c>
      <c r="I8" s="13">
        <f t="shared" si="5"/>
        <v>39.444452640438577</v>
      </c>
      <c r="J8" s="13">
        <f t="shared" si="6"/>
        <v>963.625202763331</v>
      </c>
      <c r="K8" s="13">
        <f>SUM(H$2:H8)</f>
        <v>167.17627463608173</v>
      </c>
      <c r="L8" s="13">
        <f>SUM(I$2:I8)</f>
        <v>89.057817507700022</v>
      </c>
      <c r="M8" s="13">
        <f>SUM(J$2:J8)</f>
        <v>2926.4713570655003</v>
      </c>
      <c r="Q8" s="13">
        <f t="shared" si="0"/>
        <v>1000</v>
      </c>
      <c r="R8" s="13">
        <f t="shared" si="1"/>
        <v>0</v>
      </c>
      <c r="S8" s="13">
        <f t="shared" si="2"/>
        <v>-3</v>
      </c>
      <c r="U8">
        <v>3500</v>
      </c>
      <c r="V8" s="13">
        <f t="shared" si="14"/>
        <v>6.6666666666666679</v>
      </c>
      <c r="W8" s="13">
        <f t="shared" si="14"/>
        <v>26.666666666666664</v>
      </c>
      <c r="X8" s="13">
        <f t="shared" si="8"/>
        <v>1.5893086397217007</v>
      </c>
      <c r="Y8" s="13">
        <f t="shared" si="9"/>
        <v>1.0000641244118984</v>
      </c>
      <c r="Z8" s="13">
        <f t="shared" si="11"/>
        <v>1.2396903607672785</v>
      </c>
      <c r="AA8" s="13">
        <f t="shared" si="12"/>
        <v>2.9259077796786381</v>
      </c>
      <c r="AB8" s="13">
        <f t="shared" si="13"/>
        <v>99.451834301060373</v>
      </c>
      <c r="AC8" s="13">
        <f>SUM(Z$3:Z8)</f>
        <v>3.3239460505796954</v>
      </c>
      <c r="AD8" s="13">
        <f>SUM(AA$3:AA8)</f>
        <v>9.8526814364121247</v>
      </c>
      <c r="AE8" s="13">
        <f>SUM(AB$3:AB8)</f>
        <v>3498.6936265782538</v>
      </c>
    </row>
    <row r="9" spans="1:31" x14ac:dyDescent="0.2">
      <c r="A9">
        <v>7</v>
      </c>
      <c r="B9">
        <v>7000</v>
      </c>
      <c r="C9">
        <v>17</v>
      </c>
      <c r="D9">
        <v>50</v>
      </c>
      <c r="F9" s="13">
        <f t="shared" si="3"/>
        <v>6.2902855173679706</v>
      </c>
      <c r="G9" s="7">
        <f t="shared" si="10"/>
        <v>1.0010056294542709</v>
      </c>
      <c r="H9" s="13">
        <f t="shared" si="4"/>
        <v>65.797173456012786</v>
      </c>
      <c r="I9" s="13">
        <f t="shared" si="5"/>
        <v>53.908296985762668</v>
      </c>
      <c r="J9" s="13">
        <f t="shared" si="6"/>
        <v>959.74740660295402</v>
      </c>
      <c r="K9" s="13">
        <f>SUM(H$2:H9)</f>
        <v>232.97344809209451</v>
      </c>
      <c r="L9" s="13">
        <f>SUM(I$2:I9)</f>
        <v>142.9661144934627</v>
      </c>
      <c r="M9" s="13">
        <f>SUM(J$2:J9)</f>
        <v>3886.2187636684544</v>
      </c>
      <c r="Q9" s="13">
        <f t="shared" si="0"/>
        <v>1000</v>
      </c>
      <c r="R9" s="13">
        <f t="shared" si="1"/>
        <v>0</v>
      </c>
      <c r="S9" s="13">
        <f t="shared" si="2"/>
        <v>1</v>
      </c>
      <c r="U9">
        <v>3600</v>
      </c>
      <c r="V9" s="13">
        <f t="shared" si="14"/>
        <v>8.0000000000000018</v>
      </c>
      <c r="W9" s="13">
        <f t="shared" si="14"/>
        <v>35</v>
      </c>
      <c r="X9" s="13">
        <f t="shared" si="8"/>
        <v>1.7023362893726681</v>
      </c>
      <c r="Y9" s="13">
        <f t="shared" si="9"/>
        <v>1.0000735703027845</v>
      </c>
      <c r="Z9" s="13">
        <f t="shared" si="11"/>
        <v>2.0107430754936897</v>
      </c>
      <c r="AA9" s="13">
        <f t="shared" si="12"/>
        <v>3.3187289583515676</v>
      </c>
      <c r="AB9" s="13">
        <f t="shared" si="13"/>
        <v>99.182617682594241</v>
      </c>
      <c r="AC9" s="13">
        <f>SUM(Z$3:Z9)</f>
        <v>5.3346891260733855</v>
      </c>
      <c r="AD9" s="13">
        <f>SUM(AA$3:AA9)</f>
        <v>13.171410394763692</v>
      </c>
      <c r="AE9" s="13">
        <f>SUM(AB$3:AB9)</f>
        <v>3597.8762442608481</v>
      </c>
    </row>
    <row r="10" spans="1:31" x14ac:dyDescent="0.2">
      <c r="A10">
        <v>8</v>
      </c>
      <c r="B10">
        <v>8000</v>
      </c>
      <c r="C10">
        <v>17</v>
      </c>
      <c r="D10">
        <v>20</v>
      </c>
      <c r="F10" s="13">
        <f t="shared" si="3"/>
        <v>8.6795966707139236</v>
      </c>
      <c r="G10" s="7">
        <f t="shared" si="10"/>
        <v>1.0019167717079787</v>
      </c>
      <c r="H10" s="13">
        <f t="shared" si="4"/>
        <v>70.646434290506889</v>
      </c>
      <c r="I10" s="13">
        <f t="shared" si="5"/>
        <v>49.467165837849834</v>
      </c>
      <c r="J10" s="13">
        <f t="shared" si="6"/>
        <v>958.1377738634709</v>
      </c>
      <c r="K10" s="13">
        <f>SUM(H$2:H10)</f>
        <v>303.61988238260142</v>
      </c>
      <c r="L10" s="13">
        <f>SUM(I$2:I10)</f>
        <v>192.43328033131252</v>
      </c>
      <c r="M10" s="13">
        <f>SUM(J$2:J10)</f>
        <v>4844.3565375319249</v>
      </c>
      <c r="Q10" s="13">
        <f t="shared" si="0"/>
        <v>1000</v>
      </c>
      <c r="R10" s="13">
        <f t="shared" si="1"/>
        <v>0</v>
      </c>
      <c r="S10" s="13">
        <f t="shared" si="2"/>
        <v>-0.5</v>
      </c>
      <c r="U10">
        <v>3700</v>
      </c>
      <c r="V10" s="13">
        <f t="shared" ref="V10:W12" si="15">V9+R$4</f>
        <v>9.3333333333333357</v>
      </c>
      <c r="W10" s="13">
        <f t="shared" si="15"/>
        <v>31.666666666666668</v>
      </c>
      <c r="X10" s="13">
        <f t="shared" si="8"/>
        <v>1.4242605074831332</v>
      </c>
      <c r="Y10" s="13">
        <f t="shared" si="9"/>
        <v>1.000051496675187</v>
      </c>
      <c r="Z10" s="13">
        <f t="shared" si="11"/>
        <v>2.5142116537715404</v>
      </c>
      <c r="AA10" s="13">
        <f t="shared" si="12"/>
        <v>3.841230470139505</v>
      </c>
      <c r="AB10" s="13">
        <f t="shared" si="13"/>
        <v>98.856570565266992</v>
      </c>
      <c r="AC10" s="13">
        <f>SUM(Z$3:Z10)</f>
        <v>7.848900779844926</v>
      </c>
      <c r="AD10" s="13">
        <f>SUM(AA$3:AA10)</f>
        <v>17.012640864903197</v>
      </c>
      <c r="AE10" s="13">
        <f>SUM(AB$3:AB10)</f>
        <v>3696.7328148261149</v>
      </c>
    </row>
    <row r="11" spans="1:31" x14ac:dyDescent="0.2">
      <c r="A11">
        <v>9</v>
      </c>
      <c r="B11">
        <v>9000</v>
      </c>
      <c r="C11">
        <v>17</v>
      </c>
      <c r="D11">
        <v>30</v>
      </c>
      <c r="F11" s="13">
        <f t="shared" si="3"/>
        <v>2.9203236619861346</v>
      </c>
      <c r="G11" s="7">
        <f t="shared" si="10"/>
        <v>1.0002165450709795</v>
      </c>
      <c r="H11" s="13">
        <f t="shared" si="4"/>
        <v>80.47560944458472</v>
      </c>
      <c r="I11" s="13">
        <f t="shared" si="5"/>
        <v>37.526392978700571</v>
      </c>
      <c r="J11" s="13">
        <f t="shared" si="6"/>
        <v>956.51183904429354</v>
      </c>
      <c r="K11" s="13">
        <f>SUM(H$2:H11)</f>
        <v>384.09549182718615</v>
      </c>
      <c r="L11" s="13">
        <f>SUM(I$2:I11)</f>
        <v>229.9596733100131</v>
      </c>
      <c r="M11" s="13">
        <f>SUM(J$2:J11)</f>
        <v>5800.868376576218</v>
      </c>
      <c r="U11">
        <v>3800</v>
      </c>
      <c r="V11" s="13">
        <f t="shared" si="15"/>
        <v>10.66666666666667</v>
      </c>
      <c r="W11" s="13">
        <f t="shared" si="15"/>
        <v>28.333333333333336</v>
      </c>
      <c r="X11" s="13">
        <f t="shared" si="8"/>
        <v>1.4530152833769387</v>
      </c>
      <c r="Y11" s="13">
        <f t="shared" si="9"/>
        <v>1.0000535971609172</v>
      </c>
      <c r="Z11" s="13">
        <f t="shared" si="11"/>
        <v>2.6364438295226709</v>
      </c>
      <c r="AA11" s="13">
        <f t="shared" si="12"/>
        <v>4.5867717244019808</v>
      </c>
      <c r="AB11" s="13">
        <f t="shared" si="13"/>
        <v>98.479386873612711</v>
      </c>
      <c r="AC11" s="13">
        <f>SUM(Z$3:Z11)</f>
        <v>10.485344609367598</v>
      </c>
      <c r="AD11" s="13">
        <f>SUM(AA$3:AA11)</f>
        <v>21.599412589305178</v>
      </c>
      <c r="AE11" s="13">
        <f>SUM(AB$3:AB11)</f>
        <v>3795.2122016997278</v>
      </c>
    </row>
    <row r="12" spans="1:31" x14ac:dyDescent="0.2">
      <c r="A12">
        <v>10</v>
      </c>
      <c r="B12">
        <v>10000</v>
      </c>
      <c r="C12">
        <v>17</v>
      </c>
      <c r="D12">
        <v>25</v>
      </c>
      <c r="F12" s="13">
        <f t="shared" si="3"/>
        <v>1.4614343223755744</v>
      </c>
      <c r="G12" s="7">
        <f t="shared" si="10"/>
        <v>1.0000542201045466</v>
      </c>
      <c r="H12" s="13">
        <f t="shared" si="4"/>
        <v>78.974925430320226</v>
      </c>
      <c r="I12" s="13">
        <f t="shared" si="5"/>
        <v>41.111743998805871</v>
      </c>
      <c r="J12" s="13">
        <f t="shared" si="6"/>
        <v>956.35660690688223</v>
      </c>
      <c r="K12" s="13">
        <f>SUM(H$2:H12)</f>
        <v>463.07041725750639</v>
      </c>
      <c r="L12" s="13">
        <f>SUM(I$2:I12)</f>
        <v>271.07141730881898</v>
      </c>
      <c r="M12" s="13">
        <f>SUM(J$2:J12)</f>
        <v>6757.2249834831</v>
      </c>
      <c r="U12">
        <v>3900</v>
      </c>
      <c r="V12" s="13">
        <f t="shared" si="15"/>
        <v>12.000000000000004</v>
      </c>
      <c r="W12" s="13">
        <f t="shared" si="15"/>
        <v>25.000000000000004</v>
      </c>
      <c r="X12" s="13">
        <f t="shared" si="8"/>
        <v>1.4850231404240637</v>
      </c>
      <c r="Y12" s="13">
        <f t="shared" si="9"/>
        <v>1.0000559846679891</v>
      </c>
      <c r="Z12" s="13">
        <f t="shared" si="11"/>
        <v>2.6780220791580742</v>
      </c>
      <c r="AA12" s="13">
        <f t="shared" si="12"/>
        <v>5.3549163443175667</v>
      </c>
      <c r="AB12" s="13">
        <f t="shared" si="13"/>
        <v>98.048901299901104</v>
      </c>
      <c r="AC12" s="13">
        <f>SUM(Z$3:Z12)</f>
        <v>13.163366688525672</v>
      </c>
      <c r="AD12" s="13">
        <f>SUM(AA$3:AA12)</f>
        <v>26.954328933622744</v>
      </c>
      <c r="AE12" s="13">
        <f>SUM(AB$3:AB12)</f>
        <v>3893.2611029996287</v>
      </c>
    </row>
    <row r="13" spans="1:31" x14ac:dyDescent="0.2">
      <c r="A13" s="6" t="s">
        <v>21</v>
      </c>
      <c r="U13">
        <v>4000</v>
      </c>
      <c r="V13" s="13">
        <f t="shared" ref="V13:V23" si="16">V12+R$5</f>
        <v>12.272727272727277</v>
      </c>
      <c r="W13" s="13">
        <f t="shared" ref="W13:W23" si="17">W12+S$5</f>
        <v>25.454545454545457</v>
      </c>
      <c r="X13" s="13">
        <f>DOGLEG_ANG(V12,W12,V13,W13)</f>
        <v>0.28898323970636047</v>
      </c>
      <c r="Y13" s="13">
        <f t="shared" si="9"/>
        <v>1.0000021199221119</v>
      </c>
      <c r="Z13" s="13">
        <f>NORTHING_DY(U12,V12,W12,U13,V13,W13,Y13)*$H$15</f>
        <v>2.731421571726091</v>
      </c>
      <c r="AA13" s="13">
        <f>EASTING_DX(U12,V12,W12,U13,V13,W13,Y13)*$H$15</f>
        <v>5.7967417486261876</v>
      </c>
      <c r="AB13" s="13">
        <f>VERTICAL_DZ(U12,V12,U13,V13,Y13)</f>
        <v>97.764930588847022</v>
      </c>
      <c r="AC13" s="13">
        <f>SUM(Z$3:Z13)</f>
        <v>15.894788260251763</v>
      </c>
      <c r="AD13" s="13">
        <f>SUM(AA$3:AA13)</f>
        <v>32.75107068224893</v>
      </c>
      <c r="AE13" s="13">
        <f>SUM(AB$3:AB13)</f>
        <v>3991.0260335884759</v>
      </c>
    </row>
    <row r="14" spans="1:31" x14ac:dyDescent="0.2">
      <c r="J14" s="6"/>
      <c r="U14">
        <v>4100</v>
      </c>
      <c r="V14" s="13">
        <f t="shared" si="16"/>
        <v>12.54545454545455</v>
      </c>
      <c r="W14" s="13">
        <f t="shared" si="17"/>
        <v>25.90909090909091</v>
      </c>
      <c r="X14" s="13">
        <f t="shared" si="8"/>
        <v>0.2896892448401151</v>
      </c>
      <c r="Y14" s="13">
        <f t="shared" si="9"/>
        <v>1.0000021302930153</v>
      </c>
      <c r="Z14" s="13">
        <f t="shared" si="11"/>
        <v>2.8387604930541142</v>
      </c>
      <c r="AA14" s="13">
        <f t="shared" si="12"/>
        <v>5.9026534387214262</v>
      </c>
      <c r="AB14" s="13">
        <f t="shared" si="13"/>
        <v>97.663750928072702</v>
      </c>
      <c r="AC14" s="13">
        <f>SUM(Z$3:Z14)</f>
        <v>18.733548753305879</v>
      </c>
      <c r="AD14" s="13">
        <f>SUM(AA$3:AA14)</f>
        <v>38.653724120970352</v>
      </c>
      <c r="AE14" s="13">
        <f>SUM(AB$3:AB14)</f>
        <v>4088.6897845165486</v>
      </c>
    </row>
    <row r="15" spans="1:31" x14ac:dyDescent="0.2">
      <c r="G15" s="6" t="s">
        <v>79</v>
      </c>
      <c r="H15">
        <v>0.30480000000000002</v>
      </c>
      <c r="U15">
        <v>4200</v>
      </c>
      <c r="V15" s="13">
        <f t="shared" si="16"/>
        <v>12.818181818181824</v>
      </c>
      <c r="W15" s="13">
        <f t="shared" si="17"/>
        <v>26.363636363636363</v>
      </c>
      <c r="X15" s="13">
        <f t="shared" si="8"/>
        <v>0.29040816477546033</v>
      </c>
      <c r="Y15" s="13">
        <f t="shared" si="9"/>
        <v>1.0000021408796262</v>
      </c>
      <c r="Z15" s="13">
        <f t="shared" si="11"/>
        <v>2.9478825233686501</v>
      </c>
      <c r="AA15" s="13">
        <f t="shared" si="12"/>
        <v>6.0070856084755118</v>
      </c>
      <c r="AB15" s="13">
        <f t="shared" si="13"/>
        <v>97.560358474545353</v>
      </c>
      <c r="AC15" s="13">
        <f>SUM(Z$3:Z15)</f>
        <v>21.68143127667453</v>
      </c>
      <c r="AD15" s="13">
        <f>SUM(AA$3:AA15)</f>
        <v>44.660809729445866</v>
      </c>
      <c r="AE15" s="13">
        <f>SUM(AB$3:AB15)</f>
        <v>4186.2501429910935</v>
      </c>
    </row>
    <row r="16" spans="1:31" x14ac:dyDescent="0.2">
      <c r="U16">
        <v>4300</v>
      </c>
      <c r="V16" s="13">
        <f t="shared" si="16"/>
        <v>13.090909090909097</v>
      </c>
      <c r="W16" s="13">
        <f t="shared" si="17"/>
        <v>26.818181818181817</v>
      </c>
      <c r="X16" s="13">
        <f t="shared" si="8"/>
        <v>0.29113983893066103</v>
      </c>
      <c r="Y16" s="13">
        <f t="shared" si="9"/>
        <v>1.0000021516810063</v>
      </c>
      <c r="Z16" s="13">
        <f t="shared" si="11"/>
        <v>3.0587683929129552</v>
      </c>
      <c r="AA16" s="13">
        <f t="shared" si="12"/>
        <v>6.1100143249289447</v>
      </c>
      <c r="AB16" s="13">
        <f t="shared" si="13"/>
        <v>97.454755570669235</v>
      </c>
      <c r="AC16" s="13">
        <f>SUM(Z$3:Z16)</f>
        <v>24.740199669587486</v>
      </c>
      <c r="AD16" s="13">
        <f>SUM(AA$3:AA16)</f>
        <v>50.770824054374813</v>
      </c>
      <c r="AE16" s="13">
        <f>SUM(AB$3:AB16)</f>
        <v>4283.704898561763</v>
      </c>
    </row>
    <row r="17" spans="21:31" x14ac:dyDescent="0.2">
      <c r="U17">
        <v>4400</v>
      </c>
      <c r="V17" s="13">
        <f t="shared" si="16"/>
        <v>13.36363636363637</v>
      </c>
      <c r="W17" s="13">
        <f t="shared" si="17"/>
        <v>27.27272727272727</v>
      </c>
      <c r="X17" s="13">
        <f t="shared" si="8"/>
        <v>0.29188410533284026</v>
      </c>
      <c r="Y17" s="13">
        <f t="shared" si="9"/>
        <v>1.0000021626961562</v>
      </c>
      <c r="Z17" s="13">
        <f t="shared" si="11"/>
        <v>3.1713985252011008</v>
      </c>
      <c r="AA17" s="13">
        <f t="shared" si="12"/>
        <v>6.2114159027457179</v>
      </c>
      <c r="AB17" s="13">
        <f t="shared" si="13"/>
        <v>97.346944608923963</v>
      </c>
      <c r="AC17" s="13">
        <f>SUM(Z$3:Z17)</f>
        <v>27.911598194788589</v>
      </c>
      <c r="AD17" s="13">
        <f>SUM(AA$3:AA17)</f>
        <v>56.982239957120534</v>
      </c>
      <c r="AE17" s="13">
        <f>SUM(AB$3:AB17)</f>
        <v>4381.0518431706869</v>
      </c>
    </row>
    <row r="18" spans="21:31" x14ac:dyDescent="0.2">
      <c r="U18">
        <v>4500</v>
      </c>
      <c r="V18" s="13">
        <f t="shared" si="16"/>
        <v>13.636363636363644</v>
      </c>
      <c r="W18" s="13">
        <f t="shared" si="17"/>
        <v>27.727272727272723</v>
      </c>
      <c r="X18" s="13">
        <f t="shared" si="8"/>
        <v>0.29264080071423659</v>
      </c>
      <c r="Y18" s="13">
        <f t="shared" si="9"/>
        <v>1.0000021739240847</v>
      </c>
      <c r="Z18" s="13">
        <f t="shared" si="11"/>
        <v>3.2857530401894253</v>
      </c>
      <c r="AA18" s="13">
        <f t="shared" si="12"/>
        <v>6.3112669081012678</v>
      </c>
      <c r="AB18" s="13">
        <f t="shared" si="13"/>
        <v>97.236928031817015</v>
      </c>
      <c r="AC18" s="13">
        <f>SUM(Z$3:Z18)</f>
        <v>31.197351234978015</v>
      </c>
      <c r="AD18" s="13">
        <f>SUM(AA$3:AA18)</f>
        <v>63.293506865221801</v>
      </c>
      <c r="AE18" s="13">
        <f>SUM(AB$3:AB18)</f>
        <v>4478.288771202504</v>
      </c>
    </row>
    <row r="19" spans="21:31" x14ac:dyDescent="0.2">
      <c r="U19">
        <v>4600</v>
      </c>
      <c r="V19" s="13">
        <f t="shared" si="16"/>
        <v>13.909090909090917</v>
      </c>
      <c r="W19" s="13">
        <f t="shared" si="17"/>
        <v>28.181818181818176</v>
      </c>
      <c r="X19" s="13">
        <f t="shared" si="8"/>
        <v>0.29340976060445012</v>
      </c>
      <c r="Y19" s="13">
        <f t="shared" si="9"/>
        <v>1.000002185363787</v>
      </c>
      <c r="Z19" s="13">
        <f t="shared" si="11"/>
        <v>3.4018117574969593</v>
      </c>
      <c r="AA19" s="13">
        <f t="shared" si="12"/>
        <v>6.4095441625295368</v>
      </c>
      <c r="AB19" s="13">
        <f t="shared" si="13"/>
        <v>97.124708331826284</v>
      </c>
      <c r="AC19" s="13">
        <f>SUM(Z$3:Z19)</f>
        <v>34.599162992474973</v>
      </c>
      <c r="AD19" s="13">
        <f>SUM(AA$3:AA19)</f>
        <v>69.703051027751343</v>
      </c>
      <c r="AE19" s="13">
        <f>SUM(AB$3:AB19)</f>
        <v>4575.4134795343307</v>
      </c>
    </row>
    <row r="20" spans="21:31" x14ac:dyDescent="0.2">
      <c r="U20">
        <v>4700</v>
      </c>
      <c r="V20" s="13">
        <f t="shared" si="16"/>
        <v>14.181818181818191</v>
      </c>
      <c r="W20" s="13">
        <f t="shared" si="17"/>
        <v>28.63636363636363</v>
      </c>
      <c r="X20" s="13">
        <f t="shared" si="8"/>
        <v>0.29419081941695918</v>
      </c>
      <c r="Y20" s="13">
        <f t="shared" si="9"/>
        <v>1.0000021970142128</v>
      </c>
      <c r="Z20" s="13">
        <f t="shared" si="11"/>
        <v>3.5195541996743227</v>
      </c>
      <c r="AA20" s="13">
        <f t="shared" si="12"/>
        <v>6.5062247467285275</v>
      </c>
      <c r="AB20" s="13">
        <f t="shared" si="13"/>
        <v>97.010288051340581</v>
      </c>
      <c r="AC20" s="13">
        <f>SUM(Z$3:Z20)</f>
        <v>38.118717192149298</v>
      </c>
      <c r="AD20" s="13">
        <f>SUM(AA$3:AA20)</f>
        <v>76.209275774479863</v>
      </c>
      <c r="AE20" s="13">
        <f>SUM(AB$3:AB20)</f>
        <v>4672.4237675856712</v>
      </c>
    </row>
    <row r="21" spans="21:31" x14ac:dyDescent="0.2">
      <c r="U21">
        <v>4800</v>
      </c>
      <c r="V21" s="13">
        <f t="shared" si="16"/>
        <v>14.454545454545464</v>
      </c>
      <c r="W21" s="13">
        <f t="shared" si="17"/>
        <v>29.090909090909083</v>
      </c>
      <c r="X21" s="13">
        <f t="shared" si="8"/>
        <v>0.29498381054480427</v>
      </c>
      <c r="Y21" s="13">
        <f t="shared" si="9"/>
        <v>1.0000022088743039</v>
      </c>
      <c r="Z21" s="13">
        <f t="shared" si="11"/>
        <v>3.6389595955209386</v>
      </c>
      <c r="AA21" s="13">
        <f t="shared" si="12"/>
        <v>6.6012860043245301</v>
      </c>
      <c r="AB21" s="13">
        <f t="shared" si="13"/>
        <v>96.893669782605727</v>
      </c>
      <c r="AC21" s="13">
        <f>SUM(Z$3:Z21)</f>
        <v>41.757676787670235</v>
      </c>
      <c r="AD21" s="13">
        <f>SUM(AA$3:AA21)</f>
        <v>82.810561778804399</v>
      </c>
      <c r="AE21" s="13">
        <f>SUM(AB$3:AB21)</f>
        <v>4769.3174373682768</v>
      </c>
    </row>
    <row r="22" spans="21:31" x14ac:dyDescent="0.2">
      <c r="U22">
        <v>4900</v>
      </c>
      <c r="V22" s="13">
        <f t="shared" si="16"/>
        <v>14.727272727272737</v>
      </c>
      <c r="W22" s="13">
        <f t="shared" si="17"/>
        <v>29.545454545454536</v>
      </c>
      <c r="X22" s="13">
        <f t="shared" si="8"/>
        <v>0.29578856644252099</v>
      </c>
      <c r="Y22" s="13">
        <f t="shared" si="9"/>
        <v>1.0000022209429935</v>
      </c>
      <c r="Z22" s="13">
        <f t="shared" si="11"/>
        <v>3.760006883449738</v>
      </c>
      <c r="AA22" s="13">
        <f t="shared" si="12"/>
        <v>6.6947055455937647</v>
      </c>
      <c r="AB22" s="13">
        <f t="shared" si="13"/>
        <v>96.774856167665789</v>
      </c>
      <c r="AC22" s="13">
        <f>SUM(Z$3:Z22)</f>
        <v>45.517683671119975</v>
      </c>
      <c r="AD22" s="13">
        <f>SUM(AA$3:AA22)</f>
        <v>89.505267324398162</v>
      </c>
      <c r="AE22" s="13">
        <f>SUM(AB$3:AB22)</f>
        <v>4866.0922935359422</v>
      </c>
    </row>
    <row r="23" spans="21:31" x14ac:dyDescent="0.2">
      <c r="U23">
        <v>5000</v>
      </c>
      <c r="V23" s="13">
        <f t="shared" si="16"/>
        <v>15.000000000000011</v>
      </c>
      <c r="W23" s="13">
        <f t="shared" si="17"/>
        <v>29.999999999999989</v>
      </c>
      <c r="X23" s="13">
        <f t="shared" si="8"/>
        <v>0.2966049187166675</v>
      </c>
      <c r="Y23" s="13">
        <f t="shared" si="9"/>
        <v>1.0000022332191887</v>
      </c>
      <c r="Z23" s="13">
        <f t="shared" si="11"/>
        <v>3.8826747148988128</v>
      </c>
      <c r="AA23" s="13">
        <f t="shared" si="12"/>
        <v>6.7864612511409206</v>
      </c>
      <c r="AB23" s="13">
        <f t="shared" si="13"/>
        <v>96.653849898301488</v>
      </c>
      <c r="AC23" s="13">
        <f>SUM(Z$3:Z23)</f>
        <v>49.400358386018787</v>
      </c>
      <c r="AD23" s="13">
        <f>SUM(AA$3:AA23)</f>
        <v>96.291728575539082</v>
      </c>
      <c r="AE23" s="13">
        <f>SUM(AB$3:AB23)</f>
        <v>4962.746143434244</v>
      </c>
    </row>
    <row r="24" spans="21:31" x14ac:dyDescent="0.2">
      <c r="U24">
        <v>5100</v>
      </c>
      <c r="V24" s="13">
        <f t="shared" ref="V24:V33" si="18">V23+R$6</f>
        <v>15.10000000000001</v>
      </c>
      <c r="W24" s="13">
        <f t="shared" ref="W24:W33" si="19">W23+S$6</f>
        <v>29.79999999999999</v>
      </c>
      <c r="X24" s="13">
        <f t="shared" si="8"/>
        <v>0.11268069906688244</v>
      </c>
      <c r="Y24" s="13">
        <f t="shared" si="9"/>
        <v>1.0000003223092189</v>
      </c>
      <c r="Z24" s="13">
        <f t="shared" si="11"/>
        <v>3.9452331079570691</v>
      </c>
      <c r="AA24" s="13">
        <f t="shared" si="12"/>
        <v>6.8610605911779805</v>
      </c>
      <c r="AB24" s="13">
        <f t="shared" si="13"/>
        <v>96.569953983791081</v>
      </c>
      <c r="AC24" s="13">
        <f>SUM(Z$3:Z24)</f>
        <v>53.34559149397586</v>
      </c>
      <c r="AD24" s="13">
        <f>SUM(AA$3:AA24)</f>
        <v>103.15278916671706</v>
      </c>
      <c r="AE24" s="13">
        <f>SUM(AB$3:AB24)</f>
        <v>5059.3160974180355</v>
      </c>
    </row>
    <row r="25" spans="21:31" x14ac:dyDescent="0.2">
      <c r="U25">
        <v>5200</v>
      </c>
      <c r="V25" s="13">
        <f t="shared" si="18"/>
        <v>15.20000000000001</v>
      </c>
      <c r="W25" s="13">
        <f t="shared" si="19"/>
        <v>29.599999999999991</v>
      </c>
      <c r="X25" s="13">
        <f t="shared" si="8"/>
        <v>0.11283641845031078</v>
      </c>
      <c r="Y25" s="13">
        <f t="shared" si="9"/>
        <v>1.000000323200662</v>
      </c>
      <c r="Z25" s="13">
        <f t="shared" si="11"/>
        <v>3.9467066636609429</v>
      </c>
      <c r="AA25" s="13">
        <f t="shared" si="12"/>
        <v>6.9194038069168968</v>
      </c>
      <c r="AB25" s="13">
        <f t="shared" si="13"/>
        <v>96.524487464344986</v>
      </c>
      <c r="AC25" s="13">
        <f>SUM(Z$3:Z25)</f>
        <v>57.2922981576368</v>
      </c>
      <c r="AD25" s="13">
        <f>SUM(AA$3:AA25)</f>
        <v>110.07219297363395</v>
      </c>
      <c r="AE25" s="13">
        <f>SUM(AB$3:AB25)</f>
        <v>5155.8405848823804</v>
      </c>
    </row>
    <row r="26" spans="21:31" x14ac:dyDescent="0.2">
      <c r="U26">
        <v>5300</v>
      </c>
      <c r="V26" s="13">
        <f t="shared" si="18"/>
        <v>15.30000000000001</v>
      </c>
      <c r="W26" s="13">
        <f t="shared" si="19"/>
        <v>29.399999999999991</v>
      </c>
      <c r="X26" s="13">
        <f t="shared" si="8"/>
        <v>0.11299285428193856</v>
      </c>
      <c r="Y26" s="13">
        <f t="shared" si="9"/>
        <v>1.0000003240974489</v>
      </c>
      <c r="Z26" s="13">
        <f t="shared" si="11"/>
        <v>3.9478087204237657</v>
      </c>
      <c r="AA26" s="13">
        <f t="shared" si="12"/>
        <v>6.9778192468256286</v>
      </c>
      <c r="AB26" s="13">
        <f t="shared" si="13"/>
        <v>96.478726915004614</v>
      </c>
      <c r="AC26" s="13">
        <f>SUM(Z$3:Z26)</f>
        <v>61.240106878060566</v>
      </c>
      <c r="AD26" s="13">
        <f>SUM(AA$3:AA26)</f>
        <v>117.05001222045958</v>
      </c>
      <c r="AE26" s="13">
        <f>SUM(AB$3:AB26)</f>
        <v>5252.3193117973851</v>
      </c>
    </row>
    <row r="27" spans="21:31" x14ac:dyDescent="0.2">
      <c r="U27">
        <v>5400</v>
      </c>
      <c r="V27" s="13">
        <f t="shared" si="18"/>
        <v>15.400000000000009</v>
      </c>
      <c r="W27" s="13">
        <f t="shared" si="19"/>
        <v>29.199999999999992</v>
      </c>
      <c r="X27" s="13">
        <f t="shared" si="8"/>
        <v>0.11315000169219745</v>
      </c>
      <c r="Y27" s="13">
        <f t="shared" si="9"/>
        <v>1.0000003249995748</v>
      </c>
      <c r="Z27" s="13">
        <f t="shared" si="11"/>
        <v>3.9485387912906096</v>
      </c>
      <c r="AA27" s="13">
        <f t="shared" si="12"/>
        <v>7.0363048494762372</v>
      </c>
      <c r="AB27" s="13">
        <f t="shared" si="13"/>
        <v>96.432672475162775</v>
      </c>
      <c r="AC27" s="13">
        <f>SUM(Z$3:Z27)</f>
        <v>65.188645669351175</v>
      </c>
      <c r="AD27" s="13">
        <f>SUM(AA$3:AA27)</f>
        <v>124.08631706993582</v>
      </c>
      <c r="AE27" s="13">
        <f>SUM(AB$3:AB27)</f>
        <v>5348.7519842725478</v>
      </c>
    </row>
    <row r="28" spans="21:31" x14ac:dyDescent="0.2">
      <c r="U28">
        <v>5500</v>
      </c>
      <c r="V28" s="13">
        <f t="shared" si="18"/>
        <v>15.500000000000009</v>
      </c>
      <c r="W28" s="13">
        <f t="shared" si="19"/>
        <v>28.999999999999993</v>
      </c>
      <c r="X28" s="13">
        <f t="shared" si="8"/>
        <v>0.11330785580407071</v>
      </c>
      <c r="Y28" s="13">
        <f t="shared" si="9"/>
        <v>1.000000325907008</v>
      </c>
      <c r="Z28" s="13">
        <f t="shared" si="11"/>
        <v>3.9488964003080533</v>
      </c>
      <c r="AA28" s="13">
        <f t="shared" si="12"/>
        <v>7.0948585507205832</v>
      </c>
      <c r="AB28" s="13">
        <f t="shared" si="13"/>
        <v>96.38632428510499</v>
      </c>
      <c r="AC28" s="13">
        <f>SUM(Z$3:Z28)</f>
        <v>69.137542069659233</v>
      </c>
      <c r="AD28" s="13">
        <f>SUM(AA$3:AA28)</f>
        <v>131.1811756206564</v>
      </c>
      <c r="AE28" s="13">
        <f>SUM(AB$3:AB28)</f>
        <v>5445.1383085576526</v>
      </c>
    </row>
    <row r="29" spans="21:31" x14ac:dyDescent="0.2">
      <c r="U29">
        <v>5600</v>
      </c>
      <c r="V29" s="13">
        <f t="shared" si="18"/>
        <v>15.600000000000009</v>
      </c>
      <c r="W29" s="13">
        <f t="shared" si="19"/>
        <v>28.799999999999994</v>
      </c>
      <c r="X29" s="13">
        <f t="shared" si="8"/>
        <v>0.11346641175601146</v>
      </c>
      <c r="Y29" s="13">
        <f t="shared" si="9"/>
        <v>1.0000003268197597</v>
      </c>
      <c r="Z29" s="13">
        <f t="shared" si="11"/>
        <v>3.9488810825388931</v>
      </c>
      <c r="AA29" s="13">
        <f t="shared" si="12"/>
        <v>7.1534782837487993</v>
      </c>
      <c r="AB29" s="13">
        <f t="shared" si="13"/>
        <v>96.339682486015647</v>
      </c>
      <c r="AC29" s="13">
        <f>SUM(Z$3:Z29)</f>
        <v>73.086423152198122</v>
      </c>
      <c r="AD29" s="13">
        <f>SUM(AA$3:AA29)</f>
        <v>138.3346539044052</v>
      </c>
      <c r="AE29" s="13">
        <f>SUM(AB$3:AB29)</f>
        <v>5541.4779910436682</v>
      </c>
    </row>
    <row r="30" spans="21:31" x14ac:dyDescent="0.2">
      <c r="U30">
        <v>5700</v>
      </c>
      <c r="V30" s="13">
        <f t="shared" si="18"/>
        <v>15.700000000000008</v>
      </c>
      <c r="W30" s="13">
        <f t="shared" si="19"/>
        <v>28.599999999999994</v>
      </c>
      <c r="X30" s="13">
        <f t="shared" si="8"/>
        <v>0.11362566467673252</v>
      </c>
      <c r="Y30" s="13">
        <f t="shared" si="9"/>
        <v>1.0000003277377958</v>
      </c>
      <c r="Z30" s="13">
        <f t="shared" si="11"/>
        <v>3.9484923840759252</v>
      </c>
      <c r="AA30" s="13">
        <f t="shared" si="12"/>
        <v>7.2121619791467557</v>
      </c>
      <c r="AB30" s="13">
        <f t="shared" si="13"/>
        <v>96.292747219969243</v>
      </c>
      <c r="AC30" s="13">
        <f>SUM(Z$3:Z30)</f>
        <v>77.034915536274042</v>
      </c>
      <c r="AD30" s="13">
        <f>SUM(AA$3:AA30)</f>
        <v>145.54681588355194</v>
      </c>
      <c r="AE30" s="13">
        <f>SUM(AB$3:AB30)</f>
        <v>5637.7707382636372</v>
      </c>
    </row>
    <row r="31" spans="21:31" x14ac:dyDescent="0.2">
      <c r="U31">
        <v>5800</v>
      </c>
      <c r="V31" s="13">
        <f t="shared" si="18"/>
        <v>15.800000000000008</v>
      </c>
      <c r="W31" s="13">
        <f t="shared" si="19"/>
        <v>28.399999999999995</v>
      </c>
      <c r="X31" s="13">
        <f t="shared" si="8"/>
        <v>0.11378560970411404</v>
      </c>
      <c r="Y31" s="13">
        <f t="shared" si="9"/>
        <v>1.0000003286611283</v>
      </c>
      <c r="Z31" s="13">
        <f t="shared" si="11"/>
        <v>3.9477298620561401</v>
      </c>
      <c r="AA31" s="13">
        <f t="shared" si="12"/>
        <v>7.2709075649548396</v>
      </c>
      <c r="AB31" s="13">
        <f t="shared" si="13"/>
        <v>96.245518629938559</v>
      </c>
      <c r="AC31" s="13">
        <f>SUM(Z$3:Z31)</f>
        <v>80.982645398330177</v>
      </c>
      <c r="AD31" s="13">
        <f>SUM(AA$3:AA31)</f>
        <v>152.8177234485068</v>
      </c>
      <c r="AE31" s="13">
        <f>SUM(AB$3:AB31)</f>
        <v>5734.0162568935757</v>
      </c>
    </row>
    <row r="32" spans="21:31" x14ac:dyDescent="0.2">
      <c r="U32">
        <v>5900</v>
      </c>
      <c r="V32" s="13">
        <f t="shared" si="18"/>
        <v>15.900000000000007</v>
      </c>
      <c r="W32" s="13">
        <f t="shared" si="19"/>
        <v>28.199999999999996</v>
      </c>
      <c r="X32" s="13">
        <f t="shared" si="8"/>
        <v>0.11394624198004687</v>
      </c>
      <c r="Y32" s="13">
        <f t="shared" si="9"/>
        <v>1.0000003295897302</v>
      </c>
      <c r="Z32" s="13">
        <f t="shared" si="11"/>
        <v>3.9465930846739044</v>
      </c>
      <c r="AA32" s="13">
        <f t="shared" si="12"/>
        <v>7.3297129667255607</v>
      </c>
      <c r="AB32" s="13">
        <f t="shared" si="13"/>
        <v>96.197996859786215</v>
      </c>
      <c r="AC32" s="13">
        <f>SUM(Z$3:Z32)</f>
        <v>84.929238483004085</v>
      </c>
      <c r="AD32" s="13">
        <f>SUM(AA$3:AA32)</f>
        <v>160.14743641523236</v>
      </c>
      <c r="AE32" s="13">
        <f>SUM(AB$3:AB32)</f>
        <v>5830.2142537533618</v>
      </c>
    </row>
    <row r="33" spans="21:31" x14ac:dyDescent="0.2">
      <c r="U33">
        <v>6000</v>
      </c>
      <c r="V33" s="13">
        <f t="shared" si="18"/>
        <v>16.000000000000007</v>
      </c>
      <c r="W33" s="13">
        <f t="shared" si="19"/>
        <v>27.999999999999996</v>
      </c>
      <c r="X33" s="13">
        <f t="shared" si="8"/>
        <v>0.11410755664642187</v>
      </c>
      <c r="Y33" s="13">
        <f t="shared" si="9"/>
        <v>1.0000003305235974</v>
      </c>
      <c r="Z33" s="13">
        <f t="shared" si="11"/>
        <v>3.9450816311944257</v>
      </c>
      <c r="AA33" s="13">
        <f t="shared" si="12"/>
        <v>7.3885761075822911</v>
      </c>
      <c r="AB33" s="13">
        <f t="shared" si="13"/>
        <v>96.150182054270076</v>
      </c>
      <c r="AC33" s="13">
        <f>SUM(Z$3:Z33)</f>
        <v>88.874320114198511</v>
      </c>
      <c r="AD33" s="13">
        <f>SUM(AA$3:AA33)</f>
        <v>167.53601252281464</v>
      </c>
      <c r="AE33" s="13">
        <f>SUM(AB$3:AB33)</f>
        <v>5926.3644358076317</v>
      </c>
    </row>
    <row r="34" spans="21:31" x14ac:dyDescent="0.2">
      <c r="U34">
        <v>6100</v>
      </c>
      <c r="V34" s="13">
        <f t="shared" ref="V34:V43" si="20">V33+R$7</f>
        <v>16.100000000000009</v>
      </c>
      <c r="W34" s="13">
        <f t="shared" ref="W34:W43" si="21">W33+S$7</f>
        <v>30.199999999999996</v>
      </c>
      <c r="X34" s="13">
        <f t="shared" si="8"/>
        <v>0.6163760814329694</v>
      </c>
      <c r="Y34" s="13">
        <f t="shared" si="9"/>
        <v>1.0000096442857669</v>
      </c>
      <c r="Z34" s="13">
        <f t="shared" si="11"/>
        <v>4.0980557455147162</v>
      </c>
      <c r="AA34" s="13">
        <f t="shared" si="12"/>
        <v>7.3617439589654072</v>
      </c>
      <c r="AB34" s="13">
        <f t="shared" si="13"/>
        <v>96.102969340356353</v>
      </c>
      <c r="AC34" s="13">
        <f>SUM(Z$3:Z34)</f>
        <v>92.972375859713225</v>
      </c>
      <c r="AD34" s="13">
        <f>SUM(AA$3:AA34)</f>
        <v>174.89775648178005</v>
      </c>
      <c r="AE34" s="13">
        <f>SUM(AB$3:AB34)</f>
        <v>6022.4674051479878</v>
      </c>
    </row>
    <row r="35" spans="21:31" x14ac:dyDescent="0.2">
      <c r="U35">
        <v>6200</v>
      </c>
      <c r="V35" s="13">
        <f t="shared" si="20"/>
        <v>16.20000000000001</v>
      </c>
      <c r="W35" s="13">
        <f t="shared" si="21"/>
        <v>32.4</v>
      </c>
      <c r="X35" s="13">
        <f t="shared" si="8"/>
        <v>0.62001646866233595</v>
      </c>
      <c r="Y35" s="13">
        <f t="shared" si="9"/>
        <v>1.0000097585440144</v>
      </c>
      <c r="Z35" s="13">
        <f t="shared" si="11"/>
        <v>4.4041852331722291</v>
      </c>
      <c r="AA35" s="13">
        <f t="shared" si="12"/>
        <v>7.2426680617919477</v>
      </c>
      <c r="AB35" s="13">
        <f t="shared" si="13"/>
        <v>96.054579335419987</v>
      </c>
      <c r="AC35" s="13">
        <f>SUM(Z$3:Z35)</f>
        <v>97.376561092885453</v>
      </c>
      <c r="AD35" s="13">
        <f>SUM(AA$3:AA35)</f>
        <v>182.14042454357201</v>
      </c>
      <c r="AE35" s="13">
        <f>SUM(AB$3:AB35)</f>
        <v>6118.5219844834082</v>
      </c>
    </row>
    <row r="36" spans="21:31" x14ac:dyDescent="0.2">
      <c r="U36">
        <v>6300</v>
      </c>
      <c r="V36" s="13">
        <f t="shared" si="20"/>
        <v>16.300000000000011</v>
      </c>
      <c r="W36" s="13">
        <f t="shared" si="21"/>
        <v>34.6</v>
      </c>
      <c r="X36" s="13">
        <f t="shared" ref="X36:X67" si="22">DOGLEG_ANG(V35,W35,V36,W36)</f>
        <v>0.62365558740611582</v>
      </c>
      <c r="Y36" s="13">
        <f t="shared" si="9"/>
        <v>1.0000098734349647</v>
      </c>
      <c r="Z36" s="13">
        <f t="shared" si="11"/>
        <v>4.707160433480519</v>
      </c>
      <c r="AA36" s="13">
        <f t="shared" si="12"/>
        <v>7.1108554378161442</v>
      </c>
      <c r="AB36" s="13">
        <f t="shared" si="13"/>
        <v>96.005896781225587</v>
      </c>
      <c r="AC36" s="13">
        <f>SUM(Z$3:Z36)</f>
        <v>102.08372152636598</v>
      </c>
      <c r="AD36" s="13">
        <f>SUM(AA$3:AA36)</f>
        <v>189.25127998138817</v>
      </c>
      <c r="AE36" s="13">
        <f>SUM(AB$3:AB36)</f>
        <v>6214.5278812646338</v>
      </c>
    </row>
    <row r="37" spans="21:31" x14ac:dyDescent="0.2">
      <c r="U37">
        <v>6400</v>
      </c>
      <c r="V37" s="13">
        <f t="shared" si="20"/>
        <v>16.400000000000013</v>
      </c>
      <c r="W37" s="13">
        <f t="shared" si="21"/>
        <v>36.800000000000004</v>
      </c>
      <c r="X37" s="13">
        <f t="shared" si="22"/>
        <v>0.6272934157996668</v>
      </c>
      <c r="Y37" s="13">
        <f t="shared" si="9"/>
        <v>1.0000099889572183</v>
      </c>
      <c r="Z37" s="13">
        <f t="shared" si="11"/>
        <v>5.006451434974017</v>
      </c>
      <c r="AA37" s="13">
        <f t="shared" si="12"/>
        <v>6.9663747395367182</v>
      </c>
      <c r="AB37" s="13">
        <f t="shared" si="13"/>
        <v>95.956921825774714</v>
      </c>
      <c r="AC37" s="13">
        <f>SUM(Z$3:Z37)</f>
        <v>107.09017296133999</v>
      </c>
      <c r="AD37" s="13">
        <f>SUM(AA$3:AA37)</f>
        <v>196.21765472092488</v>
      </c>
      <c r="AE37" s="13">
        <f>SUM(AB$3:AB37)</f>
        <v>6310.4848030904086</v>
      </c>
    </row>
    <row r="38" spans="21:31" x14ac:dyDescent="0.2">
      <c r="U38">
        <v>6500</v>
      </c>
      <c r="V38" s="13">
        <f t="shared" si="20"/>
        <v>16.500000000000014</v>
      </c>
      <c r="W38" s="13">
        <f t="shared" si="21"/>
        <v>39.000000000000007</v>
      </c>
      <c r="X38" s="13">
        <f t="shared" si="22"/>
        <v>0.63092993223273963</v>
      </c>
      <c r="Y38" s="13">
        <f t="shared" si="9"/>
        <v>1.0000101051093695</v>
      </c>
      <c r="Z38" s="13">
        <f t="shared" si="11"/>
        <v>5.3015290235974843</v>
      </c>
      <c r="AA38" s="13">
        <f t="shared" si="12"/>
        <v>6.8093166569091279</v>
      </c>
      <c r="AB38" s="13">
        <f t="shared" si="13"/>
        <v>95.907654617958471</v>
      </c>
      <c r="AC38" s="13">
        <f>SUM(Z$3:Z38)</f>
        <v>112.39170198493747</v>
      </c>
      <c r="AD38" s="13">
        <f>SUM(AA$3:AA38)</f>
        <v>203.026971377834</v>
      </c>
      <c r="AE38" s="13">
        <f>SUM(AB$3:AB38)</f>
        <v>6406.3924577083671</v>
      </c>
    </row>
    <row r="39" spans="21:31" x14ac:dyDescent="0.2">
      <c r="U39">
        <v>6600</v>
      </c>
      <c r="V39" s="13">
        <f t="shared" si="20"/>
        <v>16.600000000000016</v>
      </c>
      <c r="W39" s="13">
        <f t="shared" si="21"/>
        <v>41.20000000000001</v>
      </c>
      <c r="X39" s="13">
        <f t="shared" si="22"/>
        <v>0.63456511534489468</v>
      </c>
      <c r="Y39" s="13">
        <f t="shared" si="9"/>
        <v>1.0000102218900011</v>
      </c>
      <c r="Z39" s="13">
        <f t="shared" si="11"/>
        <v>5.5918655984992531</v>
      </c>
      <c r="AA39" s="13">
        <f t="shared" si="12"/>
        <v>6.6397939620953013</v>
      </c>
      <c r="AB39" s="13">
        <f t="shared" si="13"/>
        <v>95.858095307556439</v>
      </c>
      <c r="AC39" s="13">
        <f>SUM(Z$3:Z39)</f>
        <v>117.98356758343672</v>
      </c>
      <c r="AD39" s="13">
        <f>SUM(AA$3:AA39)</f>
        <v>209.6667653399293</v>
      </c>
      <c r="AE39" s="13">
        <f>SUM(AB$3:AB39)</f>
        <v>6502.2505530159233</v>
      </c>
    </row>
    <row r="40" spans="21:31" x14ac:dyDescent="0.2">
      <c r="U40">
        <v>6700</v>
      </c>
      <c r="V40" s="13">
        <f t="shared" si="20"/>
        <v>16.700000000000017</v>
      </c>
      <c r="W40" s="13">
        <f t="shared" si="21"/>
        <v>43.400000000000013</v>
      </c>
      <c r="X40" s="13">
        <f t="shared" si="22"/>
        <v>0.63819894401919952</v>
      </c>
      <c r="Y40" s="13">
        <f t="shared" si="9"/>
        <v>1.0000103392976956</v>
      </c>
      <c r="Z40" s="13">
        <f t="shared" si="11"/>
        <v>5.8769360921771812</v>
      </c>
      <c r="AA40" s="13">
        <f t="shared" si="12"/>
        <v>6.4579415161934239</v>
      </c>
      <c r="AB40" s="13">
        <f t="shared" si="13"/>
        <v>95.808244045237387</v>
      </c>
      <c r="AC40" s="13">
        <f>SUM(Z$3:Z40)</f>
        <v>123.8605036756139</v>
      </c>
      <c r="AD40" s="13">
        <f>SUM(AA$3:AA40)</f>
        <v>216.12470685612271</v>
      </c>
      <c r="AE40" s="13">
        <f>SUM(AB$3:AB40)</f>
        <v>6598.0587970611605</v>
      </c>
    </row>
    <row r="41" spans="21:31" x14ac:dyDescent="0.2">
      <c r="U41">
        <v>6800</v>
      </c>
      <c r="V41" s="13">
        <f t="shared" si="20"/>
        <v>16.800000000000018</v>
      </c>
      <c r="W41" s="13">
        <f t="shared" si="21"/>
        <v>45.600000000000016</v>
      </c>
      <c r="X41" s="13">
        <f t="shared" si="22"/>
        <v>0.64183139737306139</v>
      </c>
      <c r="Y41" s="13">
        <f t="shared" si="9"/>
        <v>1.0000104573310202</v>
      </c>
      <c r="Z41" s="13">
        <f t="shared" si="11"/>
        <v>6.1562188934004158</v>
      </c>
      <c r="AA41" s="13">
        <f t="shared" si="12"/>
        <v>6.2639162376835396</v>
      </c>
      <c r="AB41" s="13">
        <f t="shared" si="13"/>
        <v>95.758100982557366</v>
      </c>
      <c r="AC41" s="13">
        <f>SUM(Z$3:Z41)</f>
        <v>130.01672256901432</v>
      </c>
      <c r="AD41" s="13">
        <f>SUM(AA$3:AA41)</f>
        <v>222.38862309380625</v>
      </c>
      <c r="AE41" s="13">
        <f>SUM(AB$3:AB41)</f>
        <v>6693.8168980437176</v>
      </c>
    </row>
    <row r="42" spans="21:31" x14ac:dyDescent="0.2">
      <c r="U42">
        <v>6900</v>
      </c>
      <c r="V42" s="13">
        <f t="shared" si="20"/>
        <v>16.90000000000002</v>
      </c>
      <c r="W42" s="13">
        <f t="shared" si="21"/>
        <v>47.800000000000018</v>
      </c>
      <c r="X42" s="13">
        <f t="shared" si="22"/>
        <v>0.64546245475249764</v>
      </c>
      <c r="Y42" s="13">
        <f t="shared" si="9"/>
        <v>1.0000105759885365</v>
      </c>
      <c r="Z42" s="13">
        <f t="shared" si="11"/>
        <v>6.4291967713168994</v>
      </c>
      <c r="AA42" s="13">
        <f t="shared" si="12"/>
        <v>6.0578970323906534</v>
      </c>
      <c r="AB42" s="13">
        <f t="shared" si="13"/>
        <v>95.707666271960136</v>
      </c>
      <c r="AC42" s="13">
        <f>SUM(Z$3:Z42)</f>
        <v>136.44591934033122</v>
      </c>
      <c r="AD42" s="13">
        <f>SUM(AA$3:AA42)</f>
        <v>228.4465201261969</v>
      </c>
      <c r="AE42" s="13">
        <f>SUM(AB$3:AB42)</f>
        <v>6789.5245643156777</v>
      </c>
    </row>
    <row r="43" spans="21:31" x14ac:dyDescent="0.2">
      <c r="U43">
        <v>7000</v>
      </c>
      <c r="V43" s="13">
        <f t="shared" si="20"/>
        <v>17.000000000000021</v>
      </c>
      <c r="W43" s="13">
        <f t="shared" si="21"/>
        <v>50.000000000000021</v>
      </c>
      <c r="X43" s="13">
        <f t="shared" si="22"/>
        <v>0.64909209572640636</v>
      </c>
      <c r="Y43" s="13">
        <f t="shared" si="9"/>
        <v>1.0000106952688028</v>
      </c>
      <c r="Z43" s="13">
        <f t="shared" si="11"/>
        <v>6.6953577991451549</v>
      </c>
      <c r="AA43" s="13">
        <f t="shared" si="12"/>
        <v>5.8400846848324672</v>
      </c>
      <c r="AB43" s="13">
        <f t="shared" si="13"/>
        <v>95.656940066777054</v>
      </c>
      <c r="AC43" s="13">
        <f>SUM(Z$3:Z43)</f>
        <v>143.14127713947636</v>
      </c>
      <c r="AD43" s="13">
        <f>SUM(AA$3:AA43)</f>
        <v>234.28660481102938</v>
      </c>
      <c r="AE43" s="13">
        <f>SUM(AB$3:AB43)</f>
        <v>6885.1815043824545</v>
      </c>
    </row>
    <row r="44" spans="21:31" x14ac:dyDescent="0.2">
      <c r="U44">
        <v>7100</v>
      </c>
      <c r="V44" s="13">
        <f t="shared" ref="V44:V53" si="23">V43+R$8</f>
        <v>17.000000000000021</v>
      </c>
      <c r="W44" s="13">
        <f t="shared" ref="W44:W53" si="24">W43+S$8</f>
        <v>47.000000000000021</v>
      </c>
      <c r="X44" s="13">
        <f t="shared" si="22"/>
        <v>0.87702348541086261</v>
      </c>
      <c r="Y44" s="13">
        <f t="shared" si="9"/>
        <v>1.00001952567748</v>
      </c>
      <c r="Z44" s="13">
        <f t="shared" si="11"/>
        <v>6.6721542427486309</v>
      </c>
      <c r="AA44" s="13">
        <f t="shared" si="12"/>
        <v>5.9030234275738502</v>
      </c>
      <c r="AB44" s="13">
        <f t="shared" si="13"/>
        <v>95.632342846127301</v>
      </c>
      <c r="AC44" s="13">
        <f>SUM(Z$3:Z44)</f>
        <v>149.81343138222499</v>
      </c>
      <c r="AD44" s="13">
        <f>SUM(AA$3:AA44)</f>
        <v>240.18962823860323</v>
      </c>
      <c r="AE44" s="13">
        <f>SUM(AB$3:AB44)</f>
        <v>6980.8138472285818</v>
      </c>
    </row>
    <row r="45" spans="21:31" x14ac:dyDescent="0.2">
      <c r="U45">
        <v>7200</v>
      </c>
      <c r="V45" s="13">
        <f t="shared" si="23"/>
        <v>17.000000000000021</v>
      </c>
      <c r="W45" s="13">
        <f t="shared" si="24"/>
        <v>44.000000000000021</v>
      </c>
      <c r="X45" s="13">
        <f t="shared" si="22"/>
        <v>0.87702348541086261</v>
      </c>
      <c r="Y45" s="13">
        <f t="shared" si="9"/>
        <v>1.00001952567748</v>
      </c>
      <c r="Z45" s="13">
        <f t="shared" si="11"/>
        <v>6.354069911440245</v>
      </c>
      <c r="AA45" s="13">
        <f t="shared" si="12"/>
        <v>6.2441271116180879</v>
      </c>
      <c r="AB45" s="13">
        <f t="shared" si="13"/>
        <v>95.632342846127301</v>
      </c>
      <c r="AC45" s="13">
        <f>SUM(Z$3:Z45)</f>
        <v>156.16750129366523</v>
      </c>
      <c r="AD45" s="13">
        <f>SUM(AA$3:AA45)</f>
        <v>246.43375535022133</v>
      </c>
      <c r="AE45" s="13">
        <f>SUM(AB$3:AB45)</f>
        <v>7076.4461900747092</v>
      </c>
    </row>
    <row r="46" spans="21:31" x14ac:dyDescent="0.2">
      <c r="U46">
        <v>7300</v>
      </c>
      <c r="V46" s="13">
        <f t="shared" si="23"/>
        <v>17.000000000000021</v>
      </c>
      <c r="W46" s="13">
        <f t="shared" si="24"/>
        <v>41.000000000000021</v>
      </c>
      <c r="X46" s="13">
        <f t="shared" si="22"/>
        <v>0.87702348541086261</v>
      </c>
      <c r="Y46" s="13">
        <f t="shared" si="9"/>
        <v>1.00001952567748</v>
      </c>
      <c r="Z46" s="13">
        <f t="shared" si="11"/>
        <v>6.0185695161705848</v>
      </c>
      <c r="AA46" s="13">
        <f t="shared" si="12"/>
        <v>6.5681160772733351</v>
      </c>
      <c r="AB46" s="13">
        <f t="shared" si="13"/>
        <v>95.632342846127301</v>
      </c>
      <c r="AC46" s="13">
        <f>SUM(Z$3:Z46)</f>
        <v>162.1860708098358</v>
      </c>
      <c r="AD46" s="13">
        <f>SUM(AA$3:AA46)</f>
        <v>253.00187142749468</v>
      </c>
      <c r="AE46" s="13">
        <f>SUM(AB$3:AB46)</f>
        <v>7172.0785329208366</v>
      </c>
    </row>
    <row r="47" spans="21:31" x14ac:dyDescent="0.2">
      <c r="U47">
        <v>7400</v>
      </c>
      <c r="V47" s="13">
        <f t="shared" si="23"/>
        <v>17.000000000000021</v>
      </c>
      <c r="W47" s="13">
        <f t="shared" si="24"/>
        <v>38.000000000000021</v>
      </c>
      <c r="X47" s="13">
        <f t="shared" si="22"/>
        <v>0.87702348541086261</v>
      </c>
      <c r="Y47" s="13">
        <f t="shared" si="9"/>
        <v>1.00001952567748</v>
      </c>
      <c r="Z47" s="13">
        <f t="shared" si="11"/>
        <v>5.6665726402027392</v>
      </c>
      <c r="AA47" s="13">
        <f t="shared" si="12"/>
        <v>6.8741022933049267</v>
      </c>
      <c r="AB47" s="13">
        <f t="shared" si="13"/>
        <v>95.632342846127301</v>
      </c>
      <c r="AC47" s="13">
        <f>SUM(Z$3:Z47)</f>
        <v>167.85264345003853</v>
      </c>
      <c r="AD47" s="13">
        <f>SUM(AA$3:AA47)</f>
        <v>259.87597372079961</v>
      </c>
      <c r="AE47" s="13">
        <f>SUM(AB$3:AB47)</f>
        <v>7267.7108757669639</v>
      </c>
    </row>
    <row r="48" spans="21:31" x14ac:dyDescent="0.2">
      <c r="U48">
        <v>7500</v>
      </c>
      <c r="V48" s="13">
        <f t="shared" si="23"/>
        <v>17.000000000000021</v>
      </c>
      <c r="W48" s="13">
        <f t="shared" si="24"/>
        <v>35.000000000000021</v>
      </c>
      <c r="X48" s="13">
        <f t="shared" si="22"/>
        <v>0.87702348541086261</v>
      </c>
      <c r="Y48" s="13">
        <f t="shared" si="9"/>
        <v>1.00001952567748</v>
      </c>
      <c r="Z48" s="13">
        <f t="shared" si="11"/>
        <v>5.2990440825067324</v>
      </c>
      <c r="AA48" s="13">
        <f t="shared" si="12"/>
        <v>7.1612470727635609</v>
      </c>
      <c r="AB48" s="13">
        <f t="shared" si="13"/>
        <v>95.632342846127301</v>
      </c>
      <c r="AC48" s="13">
        <f>SUM(Z$3:Z48)</f>
        <v>173.15168753254525</v>
      </c>
      <c r="AD48" s="13">
        <f>SUM(AA$3:AA48)</f>
        <v>267.03722079356316</v>
      </c>
      <c r="AE48" s="13">
        <f>SUM(AB$3:AB48)</f>
        <v>7363.3432186130913</v>
      </c>
    </row>
    <row r="49" spans="21:31" x14ac:dyDescent="0.2">
      <c r="U49">
        <v>7600</v>
      </c>
      <c r="V49" s="13">
        <f t="shared" si="23"/>
        <v>17.000000000000021</v>
      </c>
      <c r="W49" s="13">
        <f t="shared" si="24"/>
        <v>32.000000000000021</v>
      </c>
      <c r="X49" s="13">
        <f t="shared" si="22"/>
        <v>0.87702348541086261</v>
      </c>
      <c r="Y49" s="13">
        <f t="shared" si="9"/>
        <v>1.00001952567748</v>
      </c>
      <c r="Z49" s="13">
        <f t="shared" si="11"/>
        <v>4.9169912133126124</v>
      </c>
      <c r="AA49" s="13">
        <f t="shared" si="12"/>
        <v>7.428763371767932</v>
      </c>
      <c r="AB49" s="13">
        <f t="shared" si="13"/>
        <v>95.632342846127301</v>
      </c>
      <c r="AC49" s="13">
        <f>SUM(Z$3:Z49)</f>
        <v>178.06867874585785</v>
      </c>
      <c r="AD49" s="13">
        <f>SUM(AA$3:AA49)</f>
        <v>274.46598416533112</v>
      </c>
      <c r="AE49" s="13">
        <f>SUM(AB$3:AB49)</f>
        <v>7458.9755614592186</v>
      </c>
    </row>
    <row r="50" spans="21:31" x14ac:dyDescent="0.2">
      <c r="U50">
        <v>7700</v>
      </c>
      <c r="V50" s="13">
        <f t="shared" si="23"/>
        <v>17.000000000000021</v>
      </c>
      <c r="W50" s="13">
        <f t="shared" si="24"/>
        <v>29.000000000000021</v>
      </c>
      <c r="X50" s="13">
        <f t="shared" si="22"/>
        <v>0.87702348541086261</v>
      </c>
      <c r="Y50" s="13">
        <f t="shared" si="9"/>
        <v>1.00001952567748</v>
      </c>
      <c r="Z50" s="13">
        <f t="shared" si="11"/>
        <v>4.5214612129786724</v>
      </c>
      <c r="AA50" s="13">
        <f t="shared" si="12"/>
        <v>7.6759179467372967</v>
      </c>
      <c r="AB50" s="13">
        <f t="shared" si="13"/>
        <v>95.632342846127301</v>
      </c>
      <c r="AC50" s="13">
        <f>SUM(Z$3:Z50)</f>
        <v>182.59013995883652</v>
      </c>
      <c r="AD50" s="13">
        <f>SUM(AA$3:AA50)</f>
        <v>282.14190211206841</v>
      </c>
      <c r="AE50" s="13">
        <f>SUM(AB$3:AB50)</f>
        <v>7554.607904305346</v>
      </c>
    </row>
    <row r="51" spans="21:31" x14ac:dyDescent="0.2">
      <c r="U51">
        <v>7800</v>
      </c>
      <c r="V51" s="13">
        <f t="shared" si="23"/>
        <v>17.000000000000021</v>
      </c>
      <c r="W51" s="13">
        <f t="shared" si="24"/>
        <v>26.000000000000021</v>
      </c>
      <c r="X51" s="13">
        <f t="shared" si="22"/>
        <v>0.87702348541086261</v>
      </c>
      <c r="Y51" s="13">
        <f t="shared" si="9"/>
        <v>1.00001952567748</v>
      </c>
      <c r="Z51" s="13">
        <f t="shared" si="11"/>
        <v>4.1135382017428723</v>
      </c>
      <c r="AA51" s="13">
        <f t="shared" si="12"/>
        <v>7.9020333641611717</v>
      </c>
      <c r="AB51" s="13">
        <f t="shared" si="13"/>
        <v>95.632342846127301</v>
      </c>
      <c r="AC51" s="13">
        <f>SUM(Z$3:Z51)</f>
        <v>186.70367816057939</v>
      </c>
      <c r="AD51" s="13">
        <f>SUM(AA$3:AA51)</f>
        <v>290.04393547622959</v>
      </c>
      <c r="AE51" s="13">
        <f>SUM(AB$3:AB51)</f>
        <v>7650.2402471514733</v>
      </c>
    </row>
    <row r="52" spans="21:31" x14ac:dyDescent="0.2">
      <c r="U52">
        <v>7900</v>
      </c>
      <c r="V52" s="13">
        <f t="shared" si="23"/>
        <v>17.000000000000021</v>
      </c>
      <c r="W52" s="13">
        <f t="shared" si="24"/>
        <v>23.000000000000021</v>
      </c>
      <c r="X52" s="13">
        <f t="shared" si="22"/>
        <v>0.87702348541086261</v>
      </c>
      <c r="Y52" s="13">
        <f t="shared" si="9"/>
        <v>1.00001952567748</v>
      </c>
      <c r="Z52" s="13">
        <f t="shared" si="11"/>
        <v>3.6943402682246296</v>
      </c>
      <c r="AA52" s="13">
        <f t="shared" si="12"/>
        <v>8.1064898573974844</v>
      </c>
      <c r="AB52" s="13">
        <f t="shared" si="13"/>
        <v>95.632342846127301</v>
      </c>
      <c r="AC52" s="13">
        <f>SUM(Z$3:Z52)</f>
        <v>190.39801842880402</v>
      </c>
      <c r="AD52" s="13">
        <f>SUM(AA$3:AA52)</f>
        <v>298.15042533362708</v>
      </c>
      <c r="AE52" s="13">
        <f>SUM(AB$3:AB52)</f>
        <v>7745.8725899976007</v>
      </c>
    </row>
    <row r="53" spans="21:31" x14ac:dyDescent="0.2">
      <c r="U53">
        <v>8000</v>
      </c>
      <c r="V53" s="13">
        <f t="shared" si="23"/>
        <v>17.000000000000021</v>
      </c>
      <c r="W53" s="13">
        <f t="shared" si="24"/>
        <v>20.000000000000021</v>
      </c>
      <c r="X53" s="13">
        <f t="shared" si="22"/>
        <v>0.87702348541086261</v>
      </c>
      <c r="Y53" s="13">
        <f t="shared" si="9"/>
        <v>1.00001952567748</v>
      </c>
      <c r="Z53" s="13">
        <f t="shared" si="11"/>
        <v>3.265016404821627</v>
      </c>
      <c r="AA53" s="13">
        <f t="shared" si="12"/>
        <v>8.2887270254098695</v>
      </c>
      <c r="AB53" s="13">
        <f t="shared" si="13"/>
        <v>95.632342846127301</v>
      </c>
      <c r="AC53" s="13">
        <f>SUM(Z$3:Z53)</f>
        <v>193.66303483362566</v>
      </c>
      <c r="AD53" s="13">
        <f>SUM(AA$3:AA53)</f>
        <v>306.43915235903694</v>
      </c>
      <c r="AE53" s="13">
        <f>SUM(AB$3:AB53)</f>
        <v>7841.5049328437281</v>
      </c>
    </row>
    <row r="54" spans="21:31" x14ac:dyDescent="0.2">
      <c r="U54">
        <v>8100</v>
      </c>
      <c r="V54" s="13">
        <f t="shared" ref="V54:V63" si="25">V53+R$9</f>
        <v>17.000000000000021</v>
      </c>
      <c r="W54" s="13">
        <f t="shared" ref="W54:W63" si="26">W53+S$9</f>
        <v>21.000000000000021</v>
      </c>
      <c r="X54" s="13">
        <f t="shared" si="22"/>
        <v>0.29236831104075145</v>
      </c>
      <c r="Y54" s="13">
        <f t="shared" si="9"/>
        <v>1.000002169877509</v>
      </c>
      <c r="Z54" s="13">
        <f t="shared" si="11"/>
        <v>3.1207573604126329</v>
      </c>
      <c r="AA54" s="13">
        <f t="shared" si="12"/>
        <v>8.3468447134899719</v>
      </c>
      <c r="AB54" s="13">
        <f t="shared" si="13"/>
        <v>95.630683102721733</v>
      </c>
      <c r="AC54" s="13">
        <f>SUM(Z$3:Z54)</f>
        <v>196.78379219403828</v>
      </c>
      <c r="AD54" s="13">
        <f>SUM(AA$3:AA54)</f>
        <v>314.78599707252692</v>
      </c>
      <c r="AE54" s="13">
        <f>SUM(AB$3:AB54)</f>
        <v>7937.1356159464494</v>
      </c>
    </row>
    <row r="55" spans="21:31" x14ac:dyDescent="0.2">
      <c r="U55">
        <v>8200</v>
      </c>
      <c r="V55" s="13">
        <f t="shared" si="25"/>
        <v>17.000000000000021</v>
      </c>
      <c r="W55" s="13">
        <f t="shared" si="26"/>
        <v>22.000000000000021</v>
      </c>
      <c r="X55" s="13">
        <f t="shared" si="22"/>
        <v>0.29236831104075145</v>
      </c>
      <c r="Y55" s="13">
        <f t="shared" si="9"/>
        <v>1.000002169877509</v>
      </c>
      <c r="Z55" s="13">
        <f t="shared" si="11"/>
        <v>3.2659545803596326</v>
      </c>
      <c r="AA55" s="13">
        <f t="shared" si="12"/>
        <v>8.291108722765193</v>
      </c>
      <c r="AB55" s="13">
        <f t="shared" si="13"/>
        <v>95.630683102721733</v>
      </c>
      <c r="AC55" s="13">
        <f>SUM(Z$3:Z55)</f>
        <v>200.0497467743979</v>
      </c>
      <c r="AD55" s="13">
        <f>SUM(AA$3:AA55)</f>
        <v>323.07710579529214</v>
      </c>
      <c r="AE55" s="13">
        <f>SUM(AB$3:AB55)</f>
        <v>8032.7662990491708</v>
      </c>
    </row>
    <row r="56" spans="21:31" x14ac:dyDescent="0.2">
      <c r="U56">
        <v>8300</v>
      </c>
      <c r="V56" s="13">
        <f t="shared" si="25"/>
        <v>17.000000000000021</v>
      </c>
      <c r="W56" s="13">
        <f t="shared" si="26"/>
        <v>23.000000000000021</v>
      </c>
      <c r="X56" s="13">
        <f t="shared" si="22"/>
        <v>0.29236831104075145</v>
      </c>
      <c r="Y56" s="13">
        <f t="shared" si="9"/>
        <v>1.000002169877509</v>
      </c>
      <c r="Z56" s="13">
        <f t="shared" si="11"/>
        <v>3.4101569589034422</v>
      </c>
      <c r="AA56" s="13">
        <f t="shared" si="12"/>
        <v>8.2328471800056828</v>
      </c>
      <c r="AB56" s="13">
        <f t="shared" si="13"/>
        <v>95.630683102721733</v>
      </c>
      <c r="AC56" s="13">
        <f>SUM(Z$3:Z56)</f>
        <v>203.45990373330133</v>
      </c>
      <c r="AD56" s="13">
        <f>SUM(AA$3:AA56)</f>
        <v>331.30995297529785</v>
      </c>
      <c r="AE56" s="13">
        <f>SUM(AB$3:AB56)</f>
        <v>8128.3969821518922</v>
      </c>
    </row>
    <row r="57" spans="21:31" x14ac:dyDescent="0.2">
      <c r="U57">
        <v>8400</v>
      </c>
      <c r="V57" s="13">
        <f t="shared" si="25"/>
        <v>17.000000000000021</v>
      </c>
      <c r="W57" s="13">
        <f t="shared" si="26"/>
        <v>24.000000000000021</v>
      </c>
      <c r="X57" s="13">
        <f t="shared" si="22"/>
        <v>0.29236831104075145</v>
      </c>
      <c r="Y57" s="13">
        <f t="shared" si="9"/>
        <v>1.000002169877509</v>
      </c>
      <c r="Z57" s="13">
        <f t="shared" si="11"/>
        <v>3.5533205706026378</v>
      </c>
      <c r="AA57" s="13">
        <f t="shared" si="12"/>
        <v>8.1720778322417651</v>
      </c>
      <c r="AB57" s="13">
        <f t="shared" si="13"/>
        <v>95.630683102721733</v>
      </c>
      <c r="AC57" s="13">
        <f>SUM(Z$3:Z57)</f>
        <v>207.01322430390397</v>
      </c>
      <c r="AD57" s="13">
        <f>SUM(AA$3:AA57)</f>
        <v>339.48203080753962</v>
      </c>
      <c r="AE57" s="13">
        <f>SUM(AB$3:AB57)</f>
        <v>8224.0276652546145</v>
      </c>
    </row>
    <row r="58" spans="21:31" x14ac:dyDescent="0.2">
      <c r="U58">
        <v>8500</v>
      </c>
      <c r="V58" s="13">
        <f t="shared" si="25"/>
        <v>17.000000000000021</v>
      </c>
      <c r="W58" s="13">
        <f t="shared" si="26"/>
        <v>25.000000000000021</v>
      </c>
      <c r="X58" s="13">
        <f t="shared" si="22"/>
        <v>0.29236831104075145</v>
      </c>
      <c r="Y58" s="13">
        <f t="shared" si="9"/>
        <v>1.000002169877509</v>
      </c>
      <c r="Z58" s="13">
        <f t="shared" si="11"/>
        <v>3.6954018064342389</v>
      </c>
      <c r="AA58" s="13">
        <f t="shared" si="12"/>
        <v>8.1088191904054483</v>
      </c>
      <c r="AB58" s="13">
        <f t="shared" si="13"/>
        <v>95.630683102721733</v>
      </c>
      <c r="AC58" s="13">
        <f>SUM(Z$3:Z58)</f>
        <v>210.7086261103382</v>
      </c>
      <c r="AD58" s="13">
        <f>SUM(AA$3:AA58)</f>
        <v>347.59084999794504</v>
      </c>
      <c r="AE58" s="13">
        <f>SUM(AB$3:AB58)</f>
        <v>8319.6583483573359</v>
      </c>
    </row>
    <row r="59" spans="21:31" x14ac:dyDescent="0.2">
      <c r="U59">
        <v>8600</v>
      </c>
      <c r="V59" s="13">
        <f t="shared" si="25"/>
        <v>17.000000000000021</v>
      </c>
      <c r="W59" s="13">
        <f t="shared" si="26"/>
        <v>26.000000000000021</v>
      </c>
      <c r="X59" s="13">
        <f t="shared" si="22"/>
        <v>0.29236831104075145</v>
      </c>
      <c r="Y59" s="13">
        <f t="shared" si="9"/>
        <v>1.000002169877509</v>
      </c>
      <c r="Z59" s="13">
        <f t="shared" si="11"/>
        <v>3.8363573870774372</v>
      </c>
      <c r="AA59" s="13">
        <f t="shared" si="12"/>
        <v>8.0430905236918395</v>
      </c>
      <c r="AB59" s="13">
        <f t="shared" si="13"/>
        <v>95.630683102721733</v>
      </c>
      <c r="AC59" s="13">
        <f>SUM(Z$3:Z59)</f>
        <v>214.54498349741564</v>
      </c>
      <c r="AD59" s="13">
        <f>SUM(AA$3:AA59)</f>
        <v>355.63394052163687</v>
      </c>
      <c r="AE59" s="13">
        <f>SUM(AB$3:AB59)</f>
        <v>8415.2890314600572</v>
      </c>
    </row>
    <row r="60" spans="21:31" x14ac:dyDescent="0.2">
      <c r="U60">
        <v>8700</v>
      </c>
      <c r="V60" s="13">
        <f t="shared" si="25"/>
        <v>17.000000000000021</v>
      </c>
      <c r="W60" s="13">
        <f t="shared" si="26"/>
        <v>27.000000000000021</v>
      </c>
      <c r="X60" s="13">
        <f t="shared" si="22"/>
        <v>0.29236831104075145</v>
      </c>
      <c r="Y60" s="13">
        <f t="shared" si="9"/>
        <v>1.000002169877509</v>
      </c>
      <c r="Z60" s="13">
        <f t="shared" si="11"/>
        <v>3.9761443760969057</v>
      </c>
      <c r="AA60" s="13">
        <f t="shared" si="12"/>
        <v>7.9749118536895462</v>
      </c>
      <c r="AB60" s="13">
        <f t="shared" si="13"/>
        <v>95.630683102721733</v>
      </c>
      <c r="AC60" s="13">
        <f>SUM(Z$3:Z60)</f>
        <v>218.52112787351254</v>
      </c>
      <c r="AD60" s="13">
        <f>SUM(AA$3:AA60)</f>
        <v>363.60885237532642</v>
      </c>
      <c r="AE60" s="13">
        <f>SUM(AB$3:AB60)</f>
        <v>8510.9197145627786</v>
      </c>
    </row>
    <row r="61" spans="21:31" x14ac:dyDescent="0.2">
      <c r="U61">
        <v>8800</v>
      </c>
      <c r="V61" s="13">
        <f t="shared" si="25"/>
        <v>17.000000000000021</v>
      </c>
      <c r="W61" s="13">
        <f t="shared" si="26"/>
        <v>28.000000000000021</v>
      </c>
      <c r="X61" s="13">
        <f t="shared" si="22"/>
        <v>0.29236831104075145</v>
      </c>
      <c r="Y61" s="13">
        <f t="shared" si="9"/>
        <v>1.000002169877509</v>
      </c>
      <c r="Z61" s="13">
        <f t="shared" si="11"/>
        <v>4.1147201930216379</v>
      </c>
      <c r="AA61" s="13">
        <f t="shared" si="12"/>
        <v>7.9043039482819148</v>
      </c>
      <c r="AB61" s="13">
        <f t="shared" si="13"/>
        <v>95.630683102721733</v>
      </c>
      <c r="AC61" s="13">
        <f>SUM(Z$3:Z61)</f>
        <v>222.63584806653418</v>
      </c>
      <c r="AD61" s="13">
        <f>SUM(AA$3:AA61)</f>
        <v>371.51315632360831</v>
      </c>
      <c r="AE61" s="13">
        <f>SUM(AB$3:AB61)</f>
        <v>8606.5503976655</v>
      </c>
    </row>
    <row r="62" spans="21:31" x14ac:dyDescent="0.2">
      <c r="U62">
        <v>8900</v>
      </c>
      <c r="V62" s="13">
        <f t="shared" si="25"/>
        <v>17.000000000000021</v>
      </c>
      <c r="W62" s="13">
        <f t="shared" si="26"/>
        <v>29.000000000000021</v>
      </c>
      <c r="X62" s="13">
        <f t="shared" si="22"/>
        <v>0.29236831104075145</v>
      </c>
      <c r="Y62" s="13">
        <f t="shared" si="9"/>
        <v>1.000002169877509</v>
      </c>
      <c r="Z62" s="13">
        <f t="shared" si="11"/>
        <v>4.2520426263153865</v>
      </c>
      <c r="AA62" s="13">
        <f t="shared" si="12"/>
        <v>7.8312883153209247</v>
      </c>
      <c r="AB62" s="13">
        <f t="shared" si="13"/>
        <v>95.630683102721733</v>
      </c>
      <c r="AC62" s="13">
        <f>SUM(Z$3:Z62)</f>
        <v>226.88789069284957</v>
      </c>
      <c r="AD62" s="13">
        <f>SUM(AA$3:AA62)</f>
        <v>379.34444463892925</v>
      </c>
      <c r="AE62" s="13">
        <f>SUM(AB$3:AB62)</f>
        <v>8702.1810807682214</v>
      </c>
    </row>
    <row r="63" spans="21:31" x14ac:dyDescent="0.2">
      <c r="U63">
        <v>9000</v>
      </c>
      <c r="V63" s="13">
        <f t="shared" si="25"/>
        <v>17.000000000000021</v>
      </c>
      <c r="W63" s="13">
        <f t="shared" si="26"/>
        <v>30.000000000000021</v>
      </c>
      <c r="X63" s="13">
        <f t="shared" si="22"/>
        <v>0.29236831104075145</v>
      </c>
      <c r="Y63" s="13">
        <f t="shared" si="9"/>
        <v>1.000002169877509</v>
      </c>
      <c r="Z63" s="13">
        <f t="shared" si="11"/>
        <v>4.3880698462346981</v>
      </c>
      <c r="AA63" s="13">
        <f t="shared" si="12"/>
        <v>7.7558871960756939</v>
      </c>
      <c r="AB63" s="13">
        <f t="shared" si="13"/>
        <v>95.630683102721733</v>
      </c>
      <c r="AC63" s="13">
        <f>SUM(Z$3:Z63)</f>
        <v>231.27596053908425</v>
      </c>
      <c r="AD63" s="13">
        <f>SUM(AA$3:AA63)</f>
        <v>387.10033183500497</v>
      </c>
      <c r="AE63" s="13">
        <f>SUM(AB$3:AB63)</f>
        <v>8797.8117638709427</v>
      </c>
    </row>
    <row r="64" spans="21:31" x14ac:dyDescent="0.2">
      <c r="U64">
        <v>9100</v>
      </c>
      <c r="V64" s="13">
        <f t="shared" ref="V64:V73" si="27">V63+R$10</f>
        <v>17.000000000000021</v>
      </c>
      <c r="W64" s="13">
        <f t="shared" ref="W64:W73" si="28">W63+S$10</f>
        <v>29.500000000000021</v>
      </c>
      <c r="X64" s="13">
        <f t="shared" si="22"/>
        <v>0.14618542815119737</v>
      </c>
      <c r="Y64" s="13">
        <f t="shared" si="9"/>
        <v>1.0000005424777623</v>
      </c>
      <c r="Z64" s="13">
        <f t="shared" si="11"/>
        <v>4.4219884962838618</v>
      </c>
      <c r="AA64" s="13">
        <f t="shared" si="12"/>
        <v>7.7368752182235943</v>
      </c>
      <c r="AB64" s="13">
        <f t="shared" si="13"/>
        <v>95.630527473709961</v>
      </c>
      <c r="AC64" s="13">
        <f>SUM(Z$3:Z64)</f>
        <v>235.69794903536811</v>
      </c>
      <c r="AD64" s="13">
        <f>SUM(AA$3:AA64)</f>
        <v>394.83720705322855</v>
      </c>
      <c r="AE64" s="13">
        <f>SUM(AB$3:AB64)</f>
        <v>8893.4422913446524</v>
      </c>
    </row>
    <row r="65" spans="21:31" x14ac:dyDescent="0.2">
      <c r="U65">
        <v>9200</v>
      </c>
      <c r="V65" s="13">
        <f t="shared" si="27"/>
        <v>17.000000000000021</v>
      </c>
      <c r="W65" s="13">
        <f t="shared" si="28"/>
        <v>29.000000000000021</v>
      </c>
      <c r="X65" s="13">
        <f t="shared" si="22"/>
        <v>0.14618542815119737</v>
      </c>
      <c r="Y65" s="13">
        <f t="shared" si="9"/>
        <v>1.0000005424777623</v>
      </c>
      <c r="Z65" s="13">
        <f t="shared" si="11"/>
        <v>4.3543040042733354</v>
      </c>
      <c r="AA65" s="13">
        <f t="shared" si="12"/>
        <v>7.7751692613086165</v>
      </c>
      <c r="AB65" s="13">
        <f t="shared" si="13"/>
        <v>95.630527473709961</v>
      </c>
      <c r="AC65" s="13">
        <f>SUM(Z$3:Z65)</f>
        <v>240.05225303964144</v>
      </c>
      <c r="AD65" s="13">
        <f>SUM(AA$3:AA65)</f>
        <v>402.61237631453719</v>
      </c>
      <c r="AE65" s="13">
        <f>SUM(AB$3:AB65)</f>
        <v>8989.0728188183621</v>
      </c>
    </row>
    <row r="66" spans="21:31" x14ac:dyDescent="0.2">
      <c r="U66">
        <v>9300</v>
      </c>
      <c r="V66" s="13">
        <f t="shared" si="27"/>
        <v>17.000000000000021</v>
      </c>
      <c r="W66" s="13">
        <f t="shared" si="28"/>
        <v>28.500000000000021</v>
      </c>
      <c r="X66" s="13">
        <f t="shared" si="22"/>
        <v>0.14618542815119737</v>
      </c>
      <c r="Y66" s="13">
        <f t="shared" si="9"/>
        <v>1.0000005424777623</v>
      </c>
      <c r="Z66" s="13">
        <f t="shared" si="11"/>
        <v>4.286287915154511</v>
      </c>
      <c r="AA66" s="13">
        <f t="shared" si="12"/>
        <v>7.8128711951515992</v>
      </c>
      <c r="AB66" s="13">
        <f t="shared" si="13"/>
        <v>95.630527473709961</v>
      </c>
      <c r="AC66" s="13">
        <f>SUM(Z$3:Z66)</f>
        <v>244.33854095479595</v>
      </c>
      <c r="AD66" s="13">
        <f>SUM(AA$3:AA66)</f>
        <v>410.4252475096888</v>
      </c>
      <c r="AE66" s="13">
        <f>SUM(AB$3:AB66)</f>
        <v>9084.7033462920717</v>
      </c>
    </row>
    <row r="67" spans="21:31" x14ac:dyDescent="0.2">
      <c r="U67">
        <v>9400</v>
      </c>
      <c r="V67" s="13">
        <f t="shared" si="27"/>
        <v>17.000000000000021</v>
      </c>
      <c r="W67" s="13">
        <f t="shared" si="28"/>
        <v>28.000000000000021</v>
      </c>
      <c r="X67" s="13">
        <f t="shared" si="22"/>
        <v>0.14618542815119737</v>
      </c>
      <c r="Y67" s="13">
        <f t="shared" si="9"/>
        <v>1.0000005424777623</v>
      </c>
      <c r="Z67" s="13">
        <f t="shared" si="11"/>
        <v>4.2179454086159085</v>
      </c>
      <c r="AA67" s="13">
        <f t="shared" si="12"/>
        <v>7.8499781486043112</v>
      </c>
      <c r="AB67" s="13">
        <f t="shared" si="13"/>
        <v>95.630527473709961</v>
      </c>
      <c r="AC67" s="13">
        <f>SUM(Z$3:Z67)</f>
        <v>248.55648636341186</v>
      </c>
      <c r="AD67" s="13">
        <f>SUM(AA$3:AA67)</f>
        <v>418.2752256582931</v>
      </c>
      <c r="AE67" s="13">
        <f>SUM(AB$3:AB67)</f>
        <v>9180.3338737657814</v>
      </c>
    </row>
    <row r="68" spans="21:31" x14ac:dyDescent="0.2">
      <c r="U68">
        <v>9500</v>
      </c>
      <c r="V68" s="13">
        <f t="shared" si="27"/>
        <v>17.000000000000021</v>
      </c>
      <c r="W68" s="13">
        <f t="shared" si="28"/>
        <v>27.500000000000021</v>
      </c>
      <c r="X68" s="13">
        <f t="shared" ref="X68:X73" si="29">DOGLEG_ANG(V67,W67,V68,W68)</f>
        <v>0.14618542815119737</v>
      </c>
      <c r="Y68" s="13">
        <f t="shared" ref="Y68:Y73" si="30">RATIOFACTOR(X68)</f>
        <v>1.0000005424777623</v>
      </c>
      <c r="Z68" s="13">
        <f t="shared" si="11"/>
        <v>4.1492816892039999</v>
      </c>
      <c r="AA68" s="13">
        <f t="shared" si="12"/>
        <v>7.8864872958285792</v>
      </c>
      <c r="AB68" s="13">
        <f t="shared" si="13"/>
        <v>95.630527473709961</v>
      </c>
      <c r="AC68" s="13">
        <f>SUM(Z$3:Z68)</f>
        <v>252.70576805261587</v>
      </c>
      <c r="AD68" s="13">
        <f>SUM(AA$3:AA68)</f>
        <v>426.1617129541217</v>
      </c>
      <c r="AE68" s="13">
        <f>SUM(AB$3:AB68)</f>
        <v>9275.9644012394911</v>
      </c>
    </row>
    <row r="69" spans="21:31" x14ac:dyDescent="0.2">
      <c r="U69">
        <v>9600</v>
      </c>
      <c r="V69" s="13">
        <f t="shared" si="27"/>
        <v>17.000000000000021</v>
      </c>
      <c r="W69" s="13">
        <f t="shared" si="28"/>
        <v>27.000000000000021</v>
      </c>
      <c r="X69" s="13">
        <f t="shared" si="29"/>
        <v>0.14618542815119737</v>
      </c>
      <c r="Y69" s="13">
        <f t="shared" si="30"/>
        <v>1.0000005424777623</v>
      </c>
      <c r="Z69" s="13">
        <f t="shared" ref="Z69:Z73" si="31">NORTHING_DY(U68,V68,W68,U69,V69,W69,Y69)*$H$15</f>
        <v>4.0803019859268623</v>
      </c>
      <c r="AA69" s="13">
        <f t="shared" ref="AA69:AA73" si="32">EASTING_DX(U68,V68,W68,U69,V69,W69,Y69)*$H$15</f>
        <v>7.9223958565114936</v>
      </c>
      <c r="AB69" s="13">
        <f t="shared" ref="AB69:AB73" si="33">VERTICAL_DZ(U68,V68,U69,V69,Y69)</f>
        <v>95.630527473709961</v>
      </c>
      <c r="AC69" s="13">
        <f>SUM(Z$3:Z69)</f>
        <v>256.78607003854273</v>
      </c>
      <c r="AD69" s="13">
        <f>SUM(AA$3:AA69)</f>
        <v>434.08410881063321</v>
      </c>
      <c r="AE69" s="13">
        <f>SUM(AB$3:AB69)</f>
        <v>9371.5949287132007</v>
      </c>
    </row>
    <row r="70" spans="21:31" x14ac:dyDescent="0.2">
      <c r="U70">
        <v>9700</v>
      </c>
      <c r="V70" s="13">
        <f t="shared" si="27"/>
        <v>17.000000000000021</v>
      </c>
      <c r="W70" s="13">
        <f t="shared" si="28"/>
        <v>26.500000000000021</v>
      </c>
      <c r="X70" s="13">
        <f t="shared" si="29"/>
        <v>0.14618542815119737</v>
      </c>
      <c r="Y70" s="13">
        <f t="shared" si="30"/>
        <v>1.0000005424777623</v>
      </c>
      <c r="Z70" s="13">
        <f t="shared" si="31"/>
        <v>4.0110115518559644</v>
      </c>
      <c r="AA70" s="13">
        <f t="shared" si="32"/>
        <v>7.9577010960771322</v>
      </c>
      <c r="AB70" s="13">
        <f t="shared" si="33"/>
        <v>95.630527473709961</v>
      </c>
      <c r="AC70" s="13">
        <f>SUM(Z$3:Z70)</f>
        <v>260.7970815903987</v>
      </c>
      <c r="AD70" s="13">
        <f>SUM(AA$3:AA70)</f>
        <v>442.04180990671034</v>
      </c>
      <c r="AE70" s="13">
        <f>SUM(AB$3:AB70)</f>
        <v>9467.2254561869104</v>
      </c>
    </row>
    <row r="71" spans="21:31" x14ac:dyDescent="0.2">
      <c r="U71">
        <v>9800</v>
      </c>
      <c r="V71" s="13">
        <f t="shared" si="27"/>
        <v>17.000000000000021</v>
      </c>
      <c r="W71" s="13">
        <f t="shared" si="28"/>
        <v>26.000000000000021</v>
      </c>
      <c r="X71" s="13">
        <f t="shared" si="29"/>
        <v>0.14618542815119737</v>
      </c>
      <c r="Y71" s="13">
        <f t="shared" si="30"/>
        <v>1.0000005424777623</v>
      </c>
      <c r="Z71" s="13">
        <f t="shared" si="31"/>
        <v>3.9414156637261293</v>
      </c>
      <c r="AA71" s="13">
        <f t="shared" si="32"/>
        <v>7.9924003258948124</v>
      </c>
      <c r="AB71" s="13">
        <f t="shared" si="33"/>
        <v>95.630527473709961</v>
      </c>
      <c r="AC71" s="13">
        <f>SUM(Z$3:Z71)</f>
        <v>264.73849725412481</v>
      </c>
      <c r="AD71" s="13">
        <f>SUM(AA$3:AA71)</f>
        <v>450.03421023260518</v>
      </c>
      <c r="AE71" s="13">
        <f>SUM(AB$3:AB71)</f>
        <v>9562.85598366062</v>
      </c>
    </row>
    <row r="72" spans="21:31" x14ac:dyDescent="0.2">
      <c r="U72">
        <v>9900</v>
      </c>
      <c r="V72" s="13">
        <f t="shared" si="27"/>
        <v>17.000000000000021</v>
      </c>
      <c r="W72" s="13">
        <f t="shared" si="28"/>
        <v>25.500000000000021</v>
      </c>
      <c r="X72" s="13">
        <f t="shared" si="29"/>
        <v>0.14618542815119737</v>
      </c>
      <c r="Y72" s="13">
        <f t="shared" si="30"/>
        <v>1.0000005424777623</v>
      </c>
      <c r="Z72" s="13">
        <f t="shared" si="31"/>
        <v>3.8715196215336909</v>
      </c>
      <c r="AA72" s="13">
        <f t="shared" si="32"/>
        <v>8.0264909034838396</v>
      </c>
      <c r="AB72" s="13">
        <f t="shared" si="33"/>
        <v>95.630527473709961</v>
      </c>
      <c r="AC72" s="13">
        <f>SUM(Z$3:Z72)</f>
        <v>268.61001687565852</v>
      </c>
      <c r="AD72" s="13">
        <f>SUM(AA$3:AA72)</f>
        <v>458.06070113608899</v>
      </c>
      <c r="AE72" s="13">
        <f>SUM(AB$3:AB72)</f>
        <v>9658.4865111343297</v>
      </c>
    </row>
    <row r="73" spans="21:31" x14ac:dyDescent="0.2">
      <c r="U73">
        <v>10000</v>
      </c>
      <c r="V73" s="13">
        <f t="shared" si="27"/>
        <v>17.000000000000021</v>
      </c>
      <c r="W73" s="13">
        <f t="shared" si="28"/>
        <v>25.000000000000021</v>
      </c>
      <c r="X73" s="13">
        <f t="shared" si="29"/>
        <v>0.14618542815119737</v>
      </c>
      <c r="Y73" s="13">
        <f t="shared" si="30"/>
        <v>1.0000005424777623</v>
      </c>
      <c r="Z73" s="13">
        <f t="shared" si="31"/>
        <v>3.801328748132875</v>
      </c>
      <c r="AA73" s="13">
        <f t="shared" si="32"/>
        <v>8.0599702327147416</v>
      </c>
      <c r="AB73" s="13">
        <f t="shared" si="33"/>
        <v>95.630527473709961</v>
      </c>
      <c r="AC73" s="13">
        <f>SUM(Z$3:Z73)</f>
        <v>272.41134562379142</v>
      </c>
      <c r="AD73" s="13">
        <f>SUM(AA$3:AA73)</f>
        <v>466.12067136880376</v>
      </c>
      <c r="AE73" s="13">
        <f>SUM(AB$3:AB73)</f>
        <v>9754.1170386080394</v>
      </c>
    </row>
  </sheetData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E73"/>
  <sheetViews>
    <sheetView workbookViewId="0">
      <selection activeCell="R8" sqref="R8"/>
    </sheetView>
  </sheetViews>
  <sheetFormatPr defaultRowHeight="12.75" x14ac:dyDescent="0.2"/>
  <sheetData>
    <row r="1" spans="1:31" x14ac:dyDescent="0.2">
      <c r="A1" s="6" t="s">
        <v>18</v>
      </c>
      <c r="B1" s="6" t="s">
        <v>17</v>
      </c>
      <c r="C1" s="6" t="s">
        <v>19</v>
      </c>
      <c r="D1" s="6" t="s">
        <v>20</v>
      </c>
      <c r="F1" s="6" t="s">
        <v>34</v>
      </c>
      <c r="G1" s="6" t="s">
        <v>23</v>
      </c>
      <c r="H1" s="6" t="s">
        <v>75</v>
      </c>
      <c r="I1" s="6" t="s">
        <v>76</v>
      </c>
      <c r="J1" s="6" t="s">
        <v>24</v>
      </c>
      <c r="K1" s="6" t="s">
        <v>25</v>
      </c>
      <c r="L1" s="6" t="s">
        <v>26</v>
      </c>
      <c r="M1" s="6" t="s">
        <v>27</v>
      </c>
      <c r="P1" s="6"/>
      <c r="Q1" s="6"/>
      <c r="R1" s="6"/>
      <c r="S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</row>
    <row r="2" spans="1:31" x14ac:dyDescent="0.2">
      <c r="A2" s="14">
        <v>0</v>
      </c>
      <c r="B2">
        <v>0</v>
      </c>
      <c r="C2">
        <v>0</v>
      </c>
      <c r="D2">
        <v>0</v>
      </c>
      <c r="K2" s="13">
        <f>SUM(H$2:H2)</f>
        <v>0</v>
      </c>
      <c r="L2" s="13">
        <f>SUM(I$2:I2)</f>
        <v>0</v>
      </c>
      <c r="M2" s="13">
        <f>SUM(J$2:J2)</f>
        <v>0</v>
      </c>
      <c r="P2" s="13"/>
      <c r="Q2" s="13"/>
      <c r="R2" s="13"/>
      <c r="S2" s="13"/>
    </row>
    <row r="3" spans="1:31" x14ac:dyDescent="0.2">
      <c r="A3" s="14">
        <v>1</v>
      </c>
      <c r="B3" s="13">
        <v>702.55</v>
      </c>
      <c r="C3" s="13">
        <v>5.5</v>
      </c>
      <c r="D3" s="13">
        <v>45</v>
      </c>
      <c r="F3" s="13">
        <f t="shared" ref="F3:F10" si="0">DOGLEG_ANG(C2,D2,C3,D3)</f>
        <v>5.499999999999881</v>
      </c>
      <c r="G3" s="7">
        <f>RATIOFACTOR(F3)</f>
        <v>1.0007685979917023</v>
      </c>
      <c r="H3" s="13">
        <f>NORTHING_DY(B2,C2,D2,B3,C3,D3,G3)</f>
        <v>23.825322381829256</v>
      </c>
      <c r="I3" s="13">
        <f>EASTING_DX(B2,C2,D2,B3,C3,D3,G3)</f>
        <v>23.825322381829274</v>
      </c>
      <c r="J3" s="13">
        <f t="shared" ref="J3:J10" si="1">VERTICAL_DZ(B2,C2,B3,C3,G3)</f>
        <v>701.47153512350724</v>
      </c>
      <c r="K3" s="13">
        <f>SUM(H$2:H3)</f>
        <v>23.825322381829256</v>
      </c>
      <c r="L3" s="13">
        <f>SUM(I$2:I3)</f>
        <v>23.825322381829274</v>
      </c>
      <c r="M3" s="13">
        <f>SUM(J$2:J3)</f>
        <v>701.47153512350724</v>
      </c>
      <c r="P3" s="13"/>
      <c r="Q3" s="13"/>
      <c r="R3" s="13"/>
      <c r="S3" s="13"/>
      <c r="Z3" s="13"/>
      <c r="AA3" s="13"/>
      <c r="AB3" s="13"/>
    </row>
    <row r="4" spans="1:31" x14ac:dyDescent="0.2">
      <c r="A4" s="14">
        <v>2</v>
      </c>
      <c r="B4" s="13">
        <v>1964.57</v>
      </c>
      <c r="C4" s="13">
        <v>29.75</v>
      </c>
      <c r="D4" s="13">
        <v>77.05</v>
      </c>
      <c r="F4" s="13">
        <f t="shared" si="0"/>
        <v>25.242205854802663</v>
      </c>
      <c r="G4" s="7">
        <f>RATIOFACTOR(F4)</f>
        <v>1.0164946197227602</v>
      </c>
      <c r="H4" s="13">
        <f t="shared" ref="H4:H10" si="2">NORTHING_DY(B3,C3,D3,B4,C4,D4,G4)</f>
        <v>353.65809556140181</v>
      </c>
      <c r="I4" s="13">
        <f t="shared" ref="I4:I10" si="3">EASTING_DX(B3,C3,D3,B4,C4,D4,G4)</f>
        <v>114.79824072655065</v>
      </c>
      <c r="J4" s="13">
        <f t="shared" si="1"/>
        <v>1195.3438891106396</v>
      </c>
      <c r="K4" s="13">
        <f>SUM(H$2:H4)</f>
        <v>377.48341794323107</v>
      </c>
      <c r="L4" s="13">
        <f>SUM(I$2:I4)</f>
        <v>138.62356310837993</v>
      </c>
      <c r="M4" s="13">
        <f>SUM(J$2:J4)</f>
        <v>1896.8154242341468</v>
      </c>
      <c r="Q4" s="13"/>
      <c r="R4" s="13"/>
      <c r="S4" s="13"/>
      <c r="V4" s="13"/>
      <c r="W4" s="13"/>
      <c r="X4" s="13"/>
      <c r="Y4" s="13"/>
      <c r="Z4" s="13"/>
      <c r="AA4" s="13"/>
      <c r="AB4" s="13"/>
      <c r="AC4" s="13"/>
      <c r="AD4" s="13"/>
      <c r="AE4" s="13"/>
    </row>
    <row r="5" spans="1:31" x14ac:dyDescent="0.2">
      <c r="A5" s="15" t="s">
        <v>36</v>
      </c>
      <c r="B5" s="13">
        <v>4250</v>
      </c>
      <c r="C5" s="13">
        <v>29.75</v>
      </c>
      <c r="D5" s="13">
        <v>77.05</v>
      </c>
      <c r="F5" s="13">
        <f t="shared" si="0"/>
        <v>0</v>
      </c>
      <c r="G5" s="7">
        <f t="shared" ref="G5:G10" si="4">RATIOFACTOR(F5)</f>
        <v>1</v>
      </c>
      <c r="H5" s="13">
        <f t="shared" si="2"/>
        <v>1105.2241969986937</v>
      </c>
      <c r="I5" s="13">
        <f t="shared" si="3"/>
        <v>254.14541802557019</v>
      </c>
      <c r="J5" s="13">
        <f t="shared" si="1"/>
        <v>1984.2076165979208</v>
      </c>
      <c r="K5" s="13">
        <f>SUM(H$2:H5)</f>
        <v>1482.7076149419249</v>
      </c>
      <c r="L5" s="13">
        <f>SUM(I$2:I5)</f>
        <v>392.76898113395009</v>
      </c>
      <c r="M5" s="13">
        <f>SUM(J$2:J5)</f>
        <v>3881.0230408320676</v>
      </c>
      <c r="Q5" s="13"/>
      <c r="R5" s="13"/>
      <c r="S5" s="13"/>
      <c r="V5" s="13"/>
      <c r="W5" s="13"/>
      <c r="X5" s="13"/>
      <c r="Y5" s="13"/>
      <c r="Z5" s="13"/>
      <c r="AA5" s="13"/>
      <c r="AB5" s="13"/>
      <c r="AC5" s="13"/>
      <c r="AD5" s="13"/>
      <c r="AE5" s="13"/>
    </row>
    <row r="6" spans="1:31" x14ac:dyDescent="0.2">
      <c r="A6" s="15" t="s">
        <v>37</v>
      </c>
      <c r="B6" s="13">
        <v>5086.3500000000004</v>
      </c>
      <c r="C6" s="13">
        <v>29.75</v>
      </c>
      <c r="D6" s="13">
        <v>77.05</v>
      </c>
      <c r="F6" s="13">
        <f t="shared" si="0"/>
        <v>0</v>
      </c>
      <c r="G6" s="7">
        <f t="shared" si="4"/>
        <v>1</v>
      </c>
      <c r="H6" s="13">
        <f t="shared" si="2"/>
        <v>404.4552916343348</v>
      </c>
      <c r="I6" s="13">
        <f t="shared" si="3"/>
        <v>93.004170053637907</v>
      </c>
      <c r="J6" s="13">
        <f t="shared" si="1"/>
        <v>726.11807849799459</v>
      </c>
      <c r="K6" s="13">
        <f>SUM(H$2:H6)</f>
        <v>1887.1629065762597</v>
      </c>
      <c r="L6" s="13">
        <f>SUM(I$2:I6)</f>
        <v>485.77315118758798</v>
      </c>
      <c r="M6" s="13">
        <f>SUM(J$2:J6)</f>
        <v>4607.1411193300619</v>
      </c>
      <c r="Q6" s="13"/>
      <c r="R6" s="13"/>
      <c r="S6" s="13"/>
      <c r="V6" s="13"/>
      <c r="W6" s="13"/>
      <c r="X6" s="13"/>
      <c r="Y6" s="13"/>
      <c r="Z6" s="13"/>
      <c r="AA6" s="13"/>
      <c r="AB6" s="13"/>
      <c r="AC6" s="13"/>
      <c r="AD6" s="13"/>
      <c r="AE6" s="13"/>
    </row>
    <row r="7" spans="1:31" x14ac:dyDescent="0.2">
      <c r="A7" s="15" t="s">
        <v>38</v>
      </c>
      <c r="B7" s="13">
        <v>8504.11</v>
      </c>
      <c r="C7" s="13">
        <v>80.89</v>
      </c>
      <c r="D7" s="13">
        <v>300.70999999999998</v>
      </c>
      <c r="F7" s="13">
        <f t="shared" si="0"/>
        <v>102.53271411644481</v>
      </c>
      <c r="G7" s="7">
        <f t="shared" si="4"/>
        <v>1.3933275402900427</v>
      </c>
      <c r="H7" s="13">
        <f t="shared" si="2"/>
        <v>-869.84373999995921</v>
      </c>
      <c r="I7" s="13">
        <f t="shared" si="3"/>
        <v>1465.4133343350738</v>
      </c>
      <c r="J7" s="13">
        <f t="shared" si="1"/>
        <v>2444.1964136754464</v>
      </c>
      <c r="K7" s="13">
        <f>SUM(H$2:H7)</f>
        <v>1017.3191665763005</v>
      </c>
      <c r="L7" s="13">
        <f>SUM(I$2:I7)</f>
        <v>1951.1864855226618</v>
      </c>
      <c r="M7" s="13">
        <f>SUM(J$2:J7)</f>
        <v>7051.3375330055078</v>
      </c>
      <c r="Q7" s="13"/>
      <c r="R7" s="13"/>
      <c r="S7" s="13"/>
      <c r="V7" s="13"/>
      <c r="W7" s="13"/>
      <c r="X7" s="13"/>
      <c r="Y7" s="13"/>
      <c r="Z7" s="13"/>
      <c r="AA7" s="13"/>
      <c r="AB7" s="13"/>
      <c r="AC7" s="13"/>
      <c r="AD7" s="13"/>
      <c r="AE7" s="13"/>
    </row>
    <row r="8" spans="1:31" x14ac:dyDescent="0.2">
      <c r="A8" s="15" t="s">
        <v>39</v>
      </c>
      <c r="B8" s="13">
        <v>8828.0400000000009</v>
      </c>
      <c r="C8" s="13">
        <v>90</v>
      </c>
      <c r="D8" s="13">
        <v>297.31</v>
      </c>
      <c r="F8" s="13">
        <f t="shared" si="0"/>
        <v>9.7187703519437232</v>
      </c>
      <c r="G8" s="7">
        <f t="shared" si="4"/>
        <v>1.0024046260446469</v>
      </c>
      <c r="H8" s="13">
        <f t="shared" si="2"/>
        <v>-282.08364737501472</v>
      </c>
      <c r="I8" s="13">
        <f t="shared" si="3"/>
        <v>156.35641556170157</v>
      </c>
      <c r="J8" s="13">
        <f t="shared" si="1"/>
        <v>25.705647598852686</v>
      </c>
      <c r="K8" s="13">
        <f>SUM(H$2:H8)</f>
        <v>735.2355192012858</v>
      </c>
      <c r="L8" s="13">
        <f>SUM(I$2:I8)</f>
        <v>2107.5429010843632</v>
      </c>
      <c r="M8" s="13">
        <f>SUM(J$2:J8)</f>
        <v>7077.0431806043607</v>
      </c>
      <c r="Q8" s="13"/>
      <c r="R8" s="13"/>
      <c r="S8" s="13"/>
      <c r="V8" s="13"/>
      <c r="W8" s="13"/>
      <c r="X8" s="13"/>
      <c r="Y8" s="13"/>
      <c r="Z8" s="13"/>
      <c r="AA8" s="13"/>
      <c r="AB8" s="13"/>
      <c r="AC8" s="13"/>
      <c r="AD8" s="13"/>
      <c r="AE8" s="13"/>
    </row>
    <row r="9" spans="1:31" x14ac:dyDescent="0.2">
      <c r="A9" s="15" t="s">
        <v>40</v>
      </c>
      <c r="B9" s="13">
        <v>9151.9699999999993</v>
      </c>
      <c r="C9" s="13">
        <v>99.11</v>
      </c>
      <c r="D9" s="13">
        <v>293.92</v>
      </c>
      <c r="F9" s="13">
        <f t="shared" si="0"/>
        <v>9.7153059950201861</v>
      </c>
      <c r="G9" s="7">
        <f t="shared" si="4"/>
        <v>1.0024029070995408</v>
      </c>
      <c r="H9" s="13">
        <f t="shared" si="2"/>
        <v>-290.7957020918962</v>
      </c>
      <c r="I9" s="13">
        <f t="shared" si="3"/>
        <v>139.4867510020126</v>
      </c>
      <c r="J9" s="13">
        <f t="shared" si="1"/>
        <v>-25.705603518252367</v>
      </c>
      <c r="K9" s="13">
        <f>SUM(H$2:H9)</f>
        <v>444.43981710938959</v>
      </c>
      <c r="L9" s="13">
        <f>SUM(I$2:I9)</f>
        <v>2247.0296520863758</v>
      </c>
      <c r="M9" s="13">
        <f>SUM(J$2:J9)</f>
        <v>7051.3375770861085</v>
      </c>
      <c r="Q9" s="13"/>
      <c r="R9" s="13"/>
      <c r="S9" s="13"/>
      <c r="V9" s="13"/>
      <c r="W9" s="13"/>
      <c r="X9" s="13"/>
      <c r="Y9" s="13"/>
      <c r="Z9" s="13"/>
      <c r="AA9" s="13"/>
      <c r="AB9" s="13"/>
      <c r="AC9" s="13"/>
      <c r="AD9" s="13"/>
      <c r="AE9" s="13"/>
    </row>
    <row r="10" spans="1:31" x14ac:dyDescent="0.2">
      <c r="A10" s="15" t="s">
        <v>41</v>
      </c>
      <c r="B10" s="13">
        <v>9901.68</v>
      </c>
      <c r="C10" s="13">
        <v>120</v>
      </c>
      <c r="D10" s="13">
        <v>285</v>
      </c>
      <c r="F10" s="13">
        <f t="shared" si="0"/>
        <v>22.493198314135149</v>
      </c>
      <c r="G10" s="7">
        <f t="shared" si="4"/>
        <v>1.0130443545915149</v>
      </c>
      <c r="H10" s="13">
        <f t="shared" si="2"/>
        <v>-660.41344931819185</v>
      </c>
      <c r="I10" s="13">
        <f t="shared" si="3"/>
        <v>237.14685437751976</v>
      </c>
      <c r="J10" s="13">
        <f t="shared" si="1"/>
        <v>-249.99750800054096</v>
      </c>
      <c r="K10" s="13">
        <f>SUM(H$2:H10)</f>
        <v>-215.97363220880226</v>
      </c>
      <c r="L10" s="13">
        <f>SUM(I$2:I10)</f>
        <v>2484.1765064638957</v>
      </c>
      <c r="M10" s="13">
        <f>SUM(J$2:J10)</f>
        <v>6801.3400690855678</v>
      </c>
      <c r="Q10" s="13"/>
      <c r="R10" s="13"/>
      <c r="S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</row>
    <row r="11" spans="1:31" x14ac:dyDescent="0.2">
      <c r="B11" s="13"/>
      <c r="C11" s="13"/>
      <c r="D11" s="13"/>
      <c r="F11" s="13"/>
      <c r="G11" s="7"/>
      <c r="H11" s="13"/>
      <c r="I11" s="13"/>
      <c r="J11" s="13"/>
      <c r="K11" s="13"/>
      <c r="L11" s="13"/>
      <c r="M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</row>
    <row r="12" spans="1:31" x14ac:dyDescent="0.2">
      <c r="F12" s="13"/>
      <c r="G12" s="7"/>
      <c r="H12" s="13"/>
      <c r="I12" s="13"/>
      <c r="J12" s="13"/>
      <c r="K12" s="13"/>
      <c r="L12" s="13"/>
      <c r="M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</row>
    <row r="13" spans="1:31" x14ac:dyDescent="0.2">
      <c r="A13" s="6" t="s">
        <v>35</v>
      </c>
      <c r="V13" s="13"/>
      <c r="W13" s="13"/>
      <c r="X13" s="13"/>
      <c r="Y13" s="13"/>
      <c r="Z13" s="13"/>
      <c r="AA13" s="13"/>
      <c r="AB13" s="13"/>
      <c r="AC13" s="13"/>
      <c r="AD13" s="13"/>
      <c r="AE13" s="13"/>
    </row>
    <row r="14" spans="1:31" x14ac:dyDescent="0.2">
      <c r="J14" s="6"/>
      <c r="V14" s="13"/>
      <c r="W14" s="13"/>
      <c r="X14" s="13"/>
      <c r="Y14" s="13"/>
      <c r="Z14" s="13"/>
      <c r="AA14" s="13"/>
      <c r="AB14" s="13"/>
      <c r="AC14" s="13"/>
      <c r="AD14" s="13"/>
      <c r="AE14" s="13"/>
    </row>
    <row r="15" spans="1:31" x14ac:dyDescent="0.2">
      <c r="V15" s="13"/>
      <c r="W15" s="13"/>
      <c r="X15" s="13"/>
      <c r="Y15" s="13"/>
      <c r="Z15" s="13"/>
      <c r="AA15" s="13"/>
      <c r="AB15" s="13"/>
      <c r="AC15" s="13"/>
      <c r="AD15" s="13"/>
      <c r="AE15" s="13"/>
    </row>
    <row r="16" spans="1:31" x14ac:dyDescent="0.2">
      <c r="V16" s="13"/>
      <c r="W16" s="13"/>
      <c r="X16" s="13"/>
      <c r="Y16" s="13"/>
      <c r="Z16" s="13"/>
      <c r="AA16" s="13"/>
      <c r="AB16" s="13"/>
      <c r="AC16" s="13"/>
      <c r="AD16" s="13"/>
      <c r="AE16" s="13"/>
    </row>
    <row r="17" spans="22:31" x14ac:dyDescent="0.2">
      <c r="V17" s="13"/>
      <c r="W17" s="13"/>
      <c r="X17" s="13"/>
      <c r="Y17" s="13"/>
      <c r="Z17" s="13"/>
      <c r="AA17" s="13"/>
      <c r="AB17" s="13"/>
      <c r="AC17" s="13"/>
      <c r="AD17" s="13"/>
      <c r="AE17" s="13"/>
    </row>
    <row r="18" spans="22:31" x14ac:dyDescent="0.2">
      <c r="V18" s="13"/>
      <c r="W18" s="13"/>
      <c r="X18" s="13"/>
      <c r="Y18" s="13"/>
      <c r="Z18" s="13"/>
      <c r="AA18" s="13"/>
      <c r="AB18" s="13"/>
      <c r="AC18" s="13"/>
      <c r="AD18" s="13"/>
      <c r="AE18" s="13"/>
    </row>
    <row r="19" spans="22:31" x14ac:dyDescent="0.2">
      <c r="V19" s="13"/>
      <c r="W19" s="13"/>
      <c r="X19" s="13"/>
      <c r="Y19" s="13"/>
      <c r="Z19" s="13"/>
      <c r="AA19" s="13"/>
      <c r="AB19" s="13"/>
      <c r="AC19" s="13"/>
      <c r="AD19" s="13"/>
      <c r="AE19" s="13"/>
    </row>
    <row r="20" spans="22:31" x14ac:dyDescent="0.2">
      <c r="V20" s="13"/>
      <c r="W20" s="13"/>
      <c r="X20" s="13"/>
      <c r="Y20" s="13"/>
      <c r="Z20" s="13"/>
      <c r="AA20" s="13"/>
      <c r="AB20" s="13"/>
      <c r="AC20" s="13"/>
      <c r="AD20" s="13"/>
      <c r="AE20" s="13"/>
    </row>
    <row r="21" spans="22:31" x14ac:dyDescent="0.2">
      <c r="V21" s="13"/>
      <c r="W21" s="13"/>
      <c r="X21" s="13"/>
      <c r="Y21" s="13"/>
      <c r="Z21" s="13"/>
      <c r="AA21" s="13"/>
      <c r="AB21" s="13"/>
      <c r="AC21" s="13"/>
      <c r="AD21" s="13"/>
      <c r="AE21" s="13"/>
    </row>
    <row r="22" spans="22:31" x14ac:dyDescent="0.2">
      <c r="V22" s="13"/>
      <c r="W22" s="13"/>
      <c r="X22" s="13"/>
      <c r="Y22" s="13"/>
      <c r="Z22" s="13"/>
      <c r="AA22" s="13"/>
      <c r="AB22" s="13"/>
      <c r="AC22" s="13"/>
      <c r="AD22" s="13"/>
      <c r="AE22" s="13"/>
    </row>
    <row r="23" spans="22:31" x14ac:dyDescent="0.2">
      <c r="V23" s="13"/>
      <c r="W23" s="13"/>
      <c r="X23" s="13"/>
      <c r="Y23" s="13"/>
      <c r="Z23" s="13"/>
      <c r="AA23" s="13"/>
      <c r="AB23" s="13"/>
      <c r="AC23" s="13"/>
      <c r="AD23" s="13"/>
      <c r="AE23" s="13"/>
    </row>
    <row r="24" spans="22:31" x14ac:dyDescent="0.2">
      <c r="V24" s="13"/>
      <c r="W24" s="13"/>
      <c r="X24" s="13"/>
      <c r="Y24" s="13"/>
      <c r="Z24" s="13"/>
      <c r="AA24" s="13"/>
      <c r="AB24" s="13"/>
      <c r="AC24" s="13"/>
      <c r="AD24" s="13"/>
      <c r="AE24" s="13"/>
    </row>
    <row r="25" spans="22:31" x14ac:dyDescent="0.2">
      <c r="V25" s="13"/>
      <c r="W25" s="13"/>
      <c r="X25" s="13"/>
      <c r="Y25" s="13"/>
      <c r="Z25" s="13"/>
      <c r="AA25" s="13"/>
      <c r="AB25" s="13"/>
      <c r="AC25" s="13"/>
      <c r="AD25" s="13"/>
      <c r="AE25" s="13"/>
    </row>
    <row r="26" spans="22:31" x14ac:dyDescent="0.2">
      <c r="V26" s="13"/>
      <c r="W26" s="13"/>
      <c r="X26" s="13"/>
      <c r="Y26" s="13"/>
      <c r="Z26" s="13"/>
      <c r="AA26" s="13"/>
      <c r="AB26" s="13"/>
      <c r="AC26" s="13"/>
      <c r="AD26" s="13"/>
      <c r="AE26" s="13"/>
    </row>
    <row r="27" spans="22:31" x14ac:dyDescent="0.2">
      <c r="V27" s="13"/>
      <c r="W27" s="13"/>
      <c r="X27" s="13"/>
      <c r="Y27" s="13"/>
      <c r="Z27" s="13"/>
      <c r="AA27" s="13"/>
      <c r="AB27" s="13"/>
      <c r="AC27" s="13"/>
      <c r="AD27" s="13"/>
      <c r="AE27" s="13"/>
    </row>
    <row r="28" spans="22:31" x14ac:dyDescent="0.2">
      <c r="V28" s="13"/>
      <c r="W28" s="13"/>
      <c r="X28" s="13"/>
      <c r="Y28" s="13"/>
      <c r="Z28" s="13"/>
      <c r="AA28" s="13"/>
      <c r="AB28" s="13"/>
      <c r="AC28" s="13"/>
      <c r="AD28" s="13"/>
      <c r="AE28" s="13"/>
    </row>
    <row r="29" spans="22:31" x14ac:dyDescent="0.2">
      <c r="V29" s="13"/>
      <c r="W29" s="13"/>
      <c r="X29" s="13"/>
      <c r="Y29" s="13"/>
      <c r="Z29" s="13"/>
      <c r="AA29" s="13"/>
      <c r="AB29" s="13"/>
      <c r="AC29" s="13"/>
      <c r="AD29" s="13"/>
      <c r="AE29" s="13"/>
    </row>
    <row r="30" spans="22:31" x14ac:dyDescent="0.2">
      <c r="V30" s="13"/>
      <c r="W30" s="13"/>
      <c r="X30" s="13"/>
      <c r="Y30" s="13"/>
      <c r="Z30" s="13"/>
      <c r="AA30" s="13"/>
      <c r="AB30" s="13"/>
      <c r="AC30" s="13"/>
      <c r="AD30" s="13"/>
      <c r="AE30" s="13"/>
    </row>
    <row r="31" spans="22:31" x14ac:dyDescent="0.2">
      <c r="V31" s="13"/>
      <c r="W31" s="13"/>
      <c r="X31" s="13"/>
      <c r="Y31" s="13"/>
      <c r="Z31" s="13"/>
      <c r="AA31" s="13"/>
      <c r="AB31" s="13"/>
      <c r="AC31" s="13"/>
      <c r="AD31" s="13"/>
      <c r="AE31" s="13"/>
    </row>
    <row r="32" spans="22:31" x14ac:dyDescent="0.2">
      <c r="V32" s="13"/>
      <c r="W32" s="13"/>
      <c r="X32" s="13"/>
      <c r="Y32" s="13"/>
      <c r="Z32" s="13"/>
      <c r="AA32" s="13"/>
      <c r="AB32" s="13"/>
      <c r="AC32" s="13"/>
      <c r="AD32" s="13"/>
      <c r="AE32" s="13"/>
    </row>
    <row r="33" spans="22:31" x14ac:dyDescent="0.2">
      <c r="V33" s="13"/>
      <c r="W33" s="13"/>
      <c r="X33" s="13"/>
      <c r="Y33" s="13"/>
      <c r="Z33" s="13"/>
      <c r="AA33" s="13"/>
      <c r="AB33" s="13"/>
      <c r="AC33" s="13"/>
      <c r="AD33" s="13"/>
      <c r="AE33" s="13"/>
    </row>
    <row r="34" spans="22:31" x14ac:dyDescent="0.2">
      <c r="V34" s="13"/>
      <c r="W34" s="13"/>
      <c r="X34" s="13"/>
      <c r="Y34" s="13"/>
      <c r="Z34" s="13"/>
      <c r="AA34" s="13"/>
      <c r="AB34" s="13"/>
      <c r="AC34" s="13"/>
      <c r="AD34" s="13"/>
      <c r="AE34" s="13"/>
    </row>
    <row r="35" spans="22:31" x14ac:dyDescent="0.2">
      <c r="V35" s="13"/>
      <c r="W35" s="13"/>
      <c r="X35" s="13"/>
      <c r="Y35" s="13"/>
      <c r="Z35" s="13"/>
      <c r="AA35" s="13"/>
      <c r="AB35" s="13"/>
      <c r="AC35" s="13"/>
      <c r="AD35" s="13"/>
      <c r="AE35" s="13"/>
    </row>
    <row r="36" spans="22:31" x14ac:dyDescent="0.2">
      <c r="V36" s="13"/>
      <c r="W36" s="13"/>
      <c r="X36" s="13"/>
      <c r="Y36" s="13"/>
      <c r="Z36" s="13"/>
      <c r="AA36" s="13"/>
      <c r="AB36" s="13"/>
      <c r="AC36" s="13"/>
      <c r="AD36" s="13"/>
      <c r="AE36" s="13"/>
    </row>
    <row r="37" spans="22:31" x14ac:dyDescent="0.2">
      <c r="V37" s="13"/>
      <c r="W37" s="13"/>
      <c r="X37" s="13"/>
      <c r="Y37" s="13"/>
      <c r="Z37" s="13"/>
      <c r="AA37" s="13"/>
      <c r="AB37" s="13"/>
      <c r="AC37" s="13"/>
      <c r="AD37" s="13"/>
      <c r="AE37" s="13"/>
    </row>
    <row r="38" spans="22:31" x14ac:dyDescent="0.2">
      <c r="V38" s="13"/>
      <c r="W38" s="13"/>
      <c r="X38" s="13"/>
      <c r="Y38" s="13"/>
      <c r="Z38" s="13"/>
      <c r="AA38" s="13"/>
      <c r="AB38" s="13"/>
      <c r="AC38" s="13"/>
      <c r="AD38" s="13"/>
      <c r="AE38" s="13"/>
    </row>
    <row r="39" spans="22:31" x14ac:dyDescent="0.2">
      <c r="V39" s="13"/>
      <c r="W39" s="13"/>
      <c r="X39" s="13"/>
      <c r="Y39" s="13"/>
      <c r="Z39" s="13"/>
      <c r="AA39" s="13"/>
      <c r="AB39" s="13"/>
      <c r="AC39" s="13"/>
      <c r="AD39" s="13"/>
      <c r="AE39" s="13"/>
    </row>
    <row r="40" spans="22:31" x14ac:dyDescent="0.2">
      <c r="V40" s="13"/>
      <c r="W40" s="13"/>
      <c r="X40" s="13"/>
      <c r="Y40" s="13"/>
      <c r="Z40" s="13"/>
      <c r="AA40" s="13"/>
      <c r="AB40" s="13"/>
      <c r="AC40" s="13"/>
      <c r="AD40" s="13"/>
      <c r="AE40" s="13"/>
    </row>
    <row r="41" spans="22:31" x14ac:dyDescent="0.2">
      <c r="V41" s="13"/>
      <c r="W41" s="13"/>
      <c r="X41" s="13"/>
      <c r="Y41" s="13"/>
      <c r="Z41" s="13"/>
      <c r="AA41" s="13"/>
      <c r="AB41" s="13"/>
      <c r="AC41" s="13"/>
      <c r="AD41" s="13"/>
      <c r="AE41" s="13"/>
    </row>
    <row r="42" spans="22:31" x14ac:dyDescent="0.2">
      <c r="V42" s="13"/>
      <c r="W42" s="13"/>
      <c r="X42" s="13"/>
      <c r="Y42" s="13"/>
      <c r="Z42" s="13"/>
      <c r="AA42" s="13"/>
      <c r="AB42" s="13"/>
      <c r="AC42" s="13"/>
      <c r="AD42" s="13"/>
      <c r="AE42" s="13"/>
    </row>
    <row r="43" spans="22:31" x14ac:dyDescent="0.2">
      <c r="V43" s="13"/>
      <c r="W43" s="13"/>
      <c r="X43" s="13"/>
      <c r="Y43" s="13"/>
      <c r="Z43" s="13"/>
      <c r="AA43" s="13"/>
      <c r="AB43" s="13"/>
      <c r="AC43" s="13"/>
      <c r="AD43" s="13"/>
      <c r="AE43" s="13"/>
    </row>
    <row r="44" spans="22:31" x14ac:dyDescent="0.2">
      <c r="V44" s="13"/>
      <c r="W44" s="13"/>
      <c r="X44" s="13"/>
      <c r="Y44" s="13"/>
      <c r="Z44" s="13"/>
      <c r="AA44" s="13"/>
      <c r="AB44" s="13"/>
      <c r="AC44" s="13"/>
      <c r="AD44" s="13"/>
      <c r="AE44" s="13"/>
    </row>
    <row r="45" spans="22:31" x14ac:dyDescent="0.2">
      <c r="V45" s="13"/>
      <c r="W45" s="13"/>
      <c r="X45" s="13"/>
      <c r="Y45" s="13"/>
      <c r="Z45" s="13"/>
      <c r="AA45" s="13"/>
      <c r="AB45" s="13"/>
      <c r="AC45" s="13"/>
      <c r="AD45" s="13"/>
      <c r="AE45" s="13"/>
    </row>
    <row r="46" spans="22:31" x14ac:dyDescent="0.2">
      <c r="V46" s="13"/>
      <c r="W46" s="13"/>
      <c r="X46" s="13"/>
      <c r="Y46" s="13"/>
      <c r="Z46" s="13"/>
      <c r="AA46" s="13"/>
      <c r="AB46" s="13"/>
      <c r="AC46" s="13"/>
      <c r="AD46" s="13"/>
      <c r="AE46" s="13"/>
    </row>
    <row r="47" spans="22:31" x14ac:dyDescent="0.2">
      <c r="V47" s="13"/>
      <c r="W47" s="13"/>
      <c r="X47" s="13"/>
      <c r="Y47" s="13"/>
      <c r="Z47" s="13"/>
      <c r="AA47" s="13"/>
      <c r="AB47" s="13"/>
      <c r="AC47" s="13"/>
      <c r="AD47" s="13"/>
      <c r="AE47" s="13"/>
    </row>
    <row r="48" spans="22:31" x14ac:dyDescent="0.2">
      <c r="V48" s="13"/>
      <c r="W48" s="13"/>
      <c r="X48" s="13"/>
      <c r="Y48" s="13"/>
      <c r="Z48" s="13"/>
      <c r="AA48" s="13"/>
      <c r="AB48" s="13"/>
      <c r="AC48" s="13"/>
      <c r="AD48" s="13"/>
      <c r="AE48" s="13"/>
    </row>
    <row r="49" spans="22:31" x14ac:dyDescent="0.2">
      <c r="V49" s="13"/>
      <c r="W49" s="13"/>
      <c r="X49" s="13"/>
      <c r="Y49" s="13"/>
      <c r="Z49" s="13"/>
      <c r="AA49" s="13"/>
      <c r="AB49" s="13"/>
      <c r="AC49" s="13"/>
      <c r="AD49" s="13"/>
      <c r="AE49" s="13"/>
    </row>
    <row r="50" spans="22:31" x14ac:dyDescent="0.2">
      <c r="V50" s="13"/>
      <c r="W50" s="13"/>
      <c r="X50" s="13"/>
      <c r="Y50" s="13"/>
      <c r="Z50" s="13"/>
      <c r="AA50" s="13"/>
      <c r="AB50" s="13"/>
      <c r="AC50" s="13"/>
      <c r="AD50" s="13"/>
      <c r="AE50" s="13"/>
    </row>
    <row r="51" spans="22:31" x14ac:dyDescent="0.2">
      <c r="V51" s="13"/>
      <c r="W51" s="13"/>
      <c r="X51" s="13"/>
      <c r="Y51" s="13"/>
      <c r="Z51" s="13"/>
      <c r="AA51" s="13"/>
      <c r="AB51" s="13"/>
      <c r="AC51" s="13"/>
      <c r="AD51" s="13"/>
      <c r="AE51" s="13"/>
    </row>
    <row r="52" spans="22:31" x14ac:dyDescent="0.2">
      <c r="V52" s="13"/>
      <c r="W52" s="13"/>
      <c r="X52" s="13"/>
      <c r="Y52" s="13"/>
      <c r="Z52" s="13"/>
      <c r="AA52" s="13"/>
      <c r="AB52" s="13"/>
      <c r="AC52" s="13"/>
      <c r="AD52" s="13"/>
      <c r="AE52" s="13"/>
    </row>
    <row r="53" spans="22:31" x14ac:dyDescent="0.2">
      <c r="V53" s="13"/>
      <c r="W53" s="13"/>
      <c r="X53" s="13"/>
      <c r="Y53" s="13"/>
      <c r="Z53" s="13"/>
      <c r="AA53" s="13"/>
      <c r="AB53" s="13"/>
      <c r="AC53" s="13"/>
      <c r="AD53" s="13"/>
      <c r="AE53" s="13"/>
    </row>
    <row r="54" spans="22:31" x14ac:dyDescent="0.2">
      <c r="V54" s="13"/>
      <c r="W54" s="13"/>
      <c r="X54" s="13"/>
      <c r="Y54" s="13"/>
      <c r="Z54" s="13"/>
      <c r="AA54" s="13"/>
      <c r="AB54" s="13"/>
      <c r="AC54" s="13"/>
      <c r="AD54" s="13"/>
      <c r="AE54" s="13"/>
    </row>
    <row r="55" spans="22:31" x14ac:dyDescent="0.2">
      <c r="V55" s="13"/>
      <c r="W55" s="13"/>
      <c r="X55" s="13"/>
      <c r="Y55" s="13"/>
      <c r="Z55" s="13"/>
      <c r="AA55" s="13"/>
      <c r="AB55" s="13"/>
      <c r="AC55" s="13"/>
      <c r="AD55" s="13"/>
      <c r="AE55" s="13"/>
    </row>
    <row r="56" spans="22:31" x14ac:dyDescent="0.2">
      <c r="V56" s="13"/>
      <c r="W56" s="13"/>
      <c r="X56" s="13"/>
      <c r="Y56" s="13"/>
      <c r="Z56" s="13"/>
      <c r="AA56" s="13"/>
      <c r="AB56" s="13"/>
      <c r="AC56" s="13"/>
      <c r="AD56" s="13"/>
      <c r="AE56" s="13"/>
    </row>
    <row r="57" spans="22:31" x14ac:dyDescent="0.2">
      <c r="V57" s="13"/>
      <c r="W57" s="13"/>
      <c r="X57" s="13"/>
      <c r="Y57" s="13"/>
      <c r="Z57" s="13"/>
      <c r="AA57" s="13"/>
      <c r="AB57" s="13"/>
      <c r="AC57" s="13"/>
      <c r="AD57" s="13"/>
      <c r="AE57" s="13"/>
    </row>
    <row r="58" spans="22:31" x14ac:dyDescent="0.2">
      <c r="V58" s="13"/>
      <c r="W58" s="13"/>
      <c r="X58" s="13"/>
      <c r="Y58" s="13"/>
      <c r="Z58" s="13"/>
      <c r="AA58" s="13"/>
      <c r="AB58" s="13"/>
      <c r="AC58" s="13"/>
      <c r="AD58" s="13"/>
      <c r="AE58" s="13"/>
    </row>
    <row r="59" spans="22:31" x14ac:dyDescent="0.2">
      <c r="V59" s="13"/>
      <c r="W59" s="13"/>
      <c r="X59" s="13"/>
      <c r="Y59" s="13"/>
      <c r="Z59" s="13"/>
      <c r="AA59" s="13"/>
      <c r="AB59" s="13"/>
      <c r="AC59" s="13"/>
      <c r="AD59" s="13"/>
      <c r="AE59" s="13"/>
    </row>
    <row r="60" spans="22:31" x14ac:dyDescent="0.2">
      <c r="V60" s="13"/>
      <c r="W60" s="13"/>
      <c r="X60" s="13"/>
      <c r="Y60" s="13"/>
      <c r="Z60" s="13"/>
      <c r="AA60" s="13"/>
      <c r="AB60" s="13"/>
      <c r="AC60" s="13"/>
      <c r="AD60" s="13"/>
      <c r="AE60" s="13"/>
    </row>
    <row r="61" spans="22:31" x14ac:dyDescent="0.2">
      <c r="V61" s="13"/>
      <c r="W61" s="13"/>
      <c r="X61" s="13"/>
      <c r="Y61" s="13"/>
      <c r="Z61" s="13"/>
      <c r="AA61" s="13"/>
      <c r="AB61" s="13"/>
      <c r="AC61" s="13"/>
      <c r="AD61" s="13"/>
      <c r="AE61" s="13"/>
    </row>
    <row r="62" spans="22:31" x14ac:dyDescent="0.2">
      <c r="V62" s="13"/>
      <c r="W62" s="13"/>
      <c r="X62" s="13"/>
      <c r="Y62" s="13"/>
      <c r="Z62" s="13"/>
      <c r="AA62" s="13"/>
      <c r="AB62" s="13"/>
      <c r="AC62" s="13"/>
      <c r="AD62" s="13"/>
      <c r="AE62" s="13"/>
    </row>
    <row r="63" spans="22:31" x14ac:dyDescent="0.2">
      <c r="V63" s="13"/>
      <c r="W63" s="13"/>
      <c r="X63" s="13"/>
      <c r="Y63" s="13"/>
      <c r="Z63" s="13"/>
      <c r="AA63" s="13"/>
      <c r="AB63" s="13"/>
      <c r="AC63" s="13"/>
      <c r="AD63" s="13"/>
      <c r="AE63" s="13"/>
    </row>
    <row r="64" spans="22:31" x14ac:dyDescent="0.2">
      <c r="V64" s="13"/>
      <c r="W64" s="13"/>
      <c r="X64" s="13"/>
      <c r="Y64" s="13"/>
      <c r="Z64" s="13"/>
      <c r="AA64" s="13"/>
      <c r="AB64" s="13"/>
      <c r="AC64" s="13"/>
      <c r="AD64" s="13"/>
      <c r="AE64" s="13"/>
    </row>
    <row r="65" spans="22:31" x14ac:dyDescent="0.2">
      <c r="V65" s="13"/>
      <c r="W65" s="13"/>
      <c r="X65" s="13"/>
      <c r="Y65" s="13"/>
      <c r="Z65" s="13"/>
      <c r="AA65" s="13"/>
      <c r="AB65" s="13"/>
      <c r="AC65" s="13"/>
      <c r="AD65" s="13"/>
      <c r="AE65" s="13"/>
    </row>
    <row r="66" spans="22:31" x14ac:dyDescent="0.2">
      <c r="V66" s="13"/>
      <c r="W66" s="13"/>
      <c r="X66" s="13"/>
      <c r="Y66" s="13"/>
      <c r="Z66" s="13"/>
      <c r="AA66" s="13"/>
      <c r="AB66" s="13"/>
      <c r="AC66" s="13"/>
      <c r="AD66" s="13"/>
      <c r="AE66" s="13"/>
    </row>
    <row r="67" spans="22:31" x14ac:dyDescent="0.2">
      <c r="V67" s="13"/>
      <c r="W67" s="13"/>
      <c r="X67" s="13"/>
      <c r="Y67" s="13"/>
      <c r="Z67" s="13"/>
      <c r="AA67" s="13"/>
      <c r="AB67" s="13"/>
      <c r="AC67" s="13"/>
      <c r="AD67" s="13"/>
      <c r="AE67" s="13"/>
    </row>
    <row r="68" spans="22:31" x14ac:dyDescent="0.2">
      <c r="V68" s="13"/>
      <c r="W68" s="13"/>
      <c r="X68" s="13"/>
      <c r="Y68" s="13"/>
      <c r="Z68" s="13"/>
      <c r="AA68" s="13"/>
      <c r="AB68" s="13"/>
      <c r="AC68" s="13"/>
      <c r="AD68" s="13"/>
      <c r="AE68" s="13"/>
    </row>
    <row r="69" spans="22:31" x14ac:dyDescent="0.2">
      <c r="V69" s="13"/>
      <c r="W69" s="13"/>
      <c r="X69" s="13"/>
      <c r="Y69" s="13"/>
      <c r="Z69" s="13"/>
      <c r="AA69" s="13"/>
      <c r="AB69" s="13"/>
      <c r="AC69" s="13"/>
      <c r="AD69" s="13"/>
      <c r="AE69" s="13"/>
    </row>
    <row r="70" spans="22:31" x14ac:dyDescent="0.2">
      <c r="V70" s="13"/>
      <c r="W70" s="13"/>
      <c r="X70" s="13"/>
      <c r="Y70" s="13"/>
      <c r="Z70" s="13"/>
      <c r="AA70" s="13"/>
      <c r="AB70" s="13"/>
      <c r="AC70" s="13"/>
      <c r="AD70" s="13"/>
      <c r="AE70" s="13"/>
    </row>
    <row r="71" spans="22:31" x14ac:dyDescent="0.2">
      <c r="V71" s="13"/>
      <c r="W71" s="13"/>
      <c r="X71" s="13"/>
      <c r="Y71" s="13"/>
      <c r="Z71" s="13"/>
      <c r="AA71" s="13"/>
      <c r="AB71" s="13"/>
      <c r="AC71" s="13"/>
      <c r="AD71" s="13"/>
      <c r="AE71" s="13"/>
    </row>
    <row r="72" spans="22:31" x14ac:dyDescent="0.2">
      <c r="V72" s="13"/>
      <c r="W72" s="13"/>
      <c r="X72" s="13"/>
      <c r="Y72" s="13"/>
      <c r="Z72" s="13"/>
      <c r="AA72" s="13"/>
      <c r="AB72" s="13"/>
      <c r="AC72" s="13"/>
      <c r="AD72" s="13"/>
      <c r="AE72" s="13"/>
    </row>
    <row r="73" spans="22:31" x14ac:dyDescent="0.2">
      <c r="V73" s="13"/>
      <c r="W73" s="13"/>
      <c r="X73" s="13"/>
      <c r="Y73" s="13"/>
      <c r="Z73" s="13"/>
      <c r="AA73" s="13"/>
      <c r="AB73" s="13"/>
      <c r="AC73" s="13"/>
      <c r="AD73" s="13"/>
      <c r="AE73" s="13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I41"/>
  <sheetViews>
    <sheetView workbookViewId="0">
      <selection activeCell="N14" sqref="N14"/>
    </sheetView>
  </sheetViews>
  <sheetFormatPr defaultRowHeight="12.75" x14ac:dyDescent="0.2"/>
  <cols>
    <col min="1" max="1" width="20.140625" bestFit="1" customWidth="1"/>
    <col min="2" max="2" width="23" bestFit="1" customWidth="1"/>
    <col min="3" max="3" width="24" bestFit="1" customWidth="1"/>
  </cols>
  <sheetData>
    <row r="1" spans="1:9" ht="15" x14ac:dyDescent="0.25">
      <c r="A1" s="6" t="s">
        <v>48</v>
      </c>
      <c r="B1" s="20" t="s">
        <v>49</v>
      </c>
    </row>
    <row r="3" spans="1:9" x14ac:dyDescent="0.2">
      <c r="A3" s="6" t="s">
        <v>44</v>
      </c>
      <c r="D3" s="16" t="s">
        <v>44</v>
      </c>
    </row>
    <row r="4" spans="1:9" ht="15" x14ac:dyDescent="0.25">
      <c r="A4" s="6" t="s">
        <v>17</v>
      </c>
      <c r="B4" s="17">
        <v>9000</v>
      </c>
      <c r="C4" s="6" t="str">
        <f>$B$1</f>
        <v>ft</v>
      </c>
      <c r="D4" s="6" t="s">
        <v>65</v>
      </c>
      <c r="G4" s="6" t="s">
        <v>68</v>
      </c>
    </row>
    <row r="5" spans="1:9" x14ac:dyDescent="0.2">
      <c r="B5" s="6" t="s">
        <v>46</v>
      </c>
      <c r="C5" s="6" t="s">
        <v>47</v>
      </c>
      <c r="D5" s="6" t="s">
        <v>56</v>
      </c>
      <c r="E5" s="13">
        <f>SIN(C6)*COS(C7)</f>
        <v>0.25320132363765269</v>
      </c>
      <c r="F5" s="6"/>
      <c r="G5" s="6" t="s">
        <v>25</v>
      </c>
      <c r="H5" s="13">
        <v>0</v>
      </c>
      <c r="I5" s="6" t="s">
        <v>7</v>
      </c>
    </row>
    <row r="6" spans="1:9" ht="15" x14ac:dyDescent="0.25">
      <c r="A6" s="6" t="s">
        <v>69</v>
      </c>
      <c r="B6" s="17">
        <v>17</v>
      </c>
      <c r="C6" s="16">
        <f>TORAD(B6)</f>
        <v>0.29670597283903594</v>
      </c>
      <c r="D6" s="6" t="s">
        <v>54</v>
      </c>
      <c r="E6" s="13">
        <f>SIN(C6)*SIN(C7)</f>
        <v>0.14618585236136827</v>
      </c>
      <c r="F6" s="6"/>
      <c r="G6" s="6" t="s">
        <v>26</v>
      </c>
      <c r="H6" s="13">
        <v>0</v>
      </c>
      <c r="I6" s="6" t="s">
        <v>7</v>
      </c>
    </row>
    <row r="7" spans="1:9" ht="15" x14ac:dyDescent="0.25">
      <c r="A7" s="6" t="s">
        <v>70</v>
      </c>
      <c r="B7" s="17">
        <v>30</v>
      </c>
      <c r="C7" s="16">
        <f>TORAD(B7)</f>
        <v>0.5235987755982987</v>
      </c>
      <c r="D7" s="6" t="s">
        <v>55</v>
      </c>
      <c r="E7" s="13">
        <f>COS(C6)</f>
        <v>0.95630475596303555</v>
      </c>
      <c r="G7" s="6" t="s">
        <v>27</v>
      </c>
      <c r="H7" s="13">
        <v>0</v>
      </c>
      <c r="I7" t="str">
        <f>$B$1</f>
        <v>ft</v>
      </c>
    </row>
    <row r="8" spans="1:9" x14ac:dyDescent="0.2">
      <c r="F8" s="6"/>
      <c r="G8" s="13"/>
    </row>
    <row r="10" spans="1:9" x14ac:dyDescent="0.2">
      <c r="A10" s="6" t="s">
        <v>45</v>
      </c>
      <c r="D10" s="6" t="s">
        <v>45</v>
      </c>
      <c r="F10" s="6"/>
      <c r="G10" s="13"/>
    </row>
    <row r="11" spans="1:9" ht="15" x14ac:dyDescent="0.25">
      <c r="A11" s="6" t="s">
        <v>17</v>
      </c>
      <c r="B11" s="17">
        <v>10000</v>
      </c>
      <c r="C11" s="6" t="str">
        <f>$B$1</f>
        <v>ft</v>
      </c>
      <c r="D11" s="6" t="s">
        <v>65</v>
      </c>
      <c r="F11" s="6"/>
      <c r="G11" s="6" t="s">
        <v>68</v>
      </c>
    </row>
    <row r="12" spans="1:9" x14ac:dyDescent="0.2">
      <c r="B12" s="6" t="s">
        <v>46</v>
      </c>
      <c r="C12" s="6" t="s">
        <v>47</v>
      </c>
      <c r="D12" s="6" t="s">
        <v>56</v>
      </c>
      <c r="E12" s="13">
        <f>SIN(C13)*COS(C14)</f>
        <v>0.26497875269939636</v>
      </c>
      <c r="G12" s="6" t="s">
        <v>25</v>
      </c>
      <c r="H12" s="13">
        <f>IF($B$1="ft",$H$5+$B$16*$B$19/2*0.3048*(SIN($C$6)*COS($C$7)+SIN($C$13)*COS($C$14)),$H$5+$B$16*$B$19/2*(SIN($C$6)*COS($C$7)+SIN($C$13)*COS($C$14)))</f>
        <v>78.974925430320212</v>
      </c>
      <c r="I12" s="6" t="s">
        <v>7</v>
      </c>
    </row>
    <row r="13" spans="1:9" ht="15" x14ac:dyDescent="0.25">
      <c r="A13" s="6" t="s">
        <v>69</v>
      </c>
      <c r="B13" s="17">
        <v>17</v>
      </c>
      <c r="C13" s="16">
        <f>TORAD(B13)</f>
        <v>0.29670597283903594</v>
      </c>
      <c r="D13" s="6" t="s">
        <v>54</v>
      </c>
      <c r="E13" s="13">
        <f>SIN(C13)*SIN(C14)</f>
        <v>0.12356162163208796</v>
      </c>
      <c r="G13" s="6" t="s">
        <v>26</v>
      </c>
      <c r="H13" s="13">
        <f>IF($B$1="ft",$H$6+$B$16*$B$19/2*0.3048*(SIN($C$6)*SIN($C$7)+SIN($C$13)*SIN($C$14)),$H$6+$B$16*$B$19/2*(SIN($C$6)*SIN($C$7)+SIN($C$13)*SIN($C$14)))</f>
        <v>41.111743998805878</v>
      </c>
      <c r="I13" s="6" t="s">
        <v>7</v>
      </c>
    </row>
    <row r="14" spans="1:9" ht="15" x14ac:dyDescent="0.25">
      <c r="A14" s="6" t="s">
        <v>70</v>
      </c>
      <c r="B14" s="17">
        <v>25</v>
      </c>
      <c r="C14" s="16">
        <f>TORAD(B14)</f>
        <v>0.43633231299858222</v>
      </c>
      <c r="D14" s="6" t="s">
        <v>55</v>
      </c>
      <c r="E14" s="13">
        <f>COS(C13)</f>
        <v>0.95630475596303555</v>
      </c>
      <c r="G14" s="6" t="s">
        <v>27</v>
      </c>
      <c r="H14" s="13">
        <f>$H$7+$B$16*$B$19/2*(COS($C$6)+COS($C$13))</f>
        <v>956.35660690688235</v>
      </c>
      <c r="I14" t="str">
        <f>$B$1</f>
        <v>ft</v>
      </c>
    </row>
    <row r="15" spans="1:9" x14ac:dyDescent="0.2">
      <c r="B15" s="13"/>
      <c r="C15" s="16"/>
    </row>
    <row r="16" spans="1:9" x14ac:dyDescent="0.2">
      <c r="A16" s="6" t="s">
        <v>64</v>
      </c>
      <c r="B16" s="13">
        <f>B11-B4</f>
        <v>1000</v>
      </c>
      <c r="C16" s="16" t="str">
        <f>$B$1</f>
        <v>ft</v>
      </c>
    </row>
    <row r="17" spans="1:9" ht="15" x14ac:dyDescent="0.25">
      <c r="A17" s="6" t="s">
        <v>50</v>
      </c>
      <c r="B17" s="13">
        <f>TOGRAD(C17)</f>
        <v>1.461434322375414</v>
      </c>
      <c r="C17" s="19">
        <f>SAWA_DOGLEG_ANG(C6,C7,C13,C14)</f>
        <v>2.5506840727103245E-2</v>
      </c>
    </row>
    <row r="18" spans="1:9" ht="15" x14ac:dyDescent="0.25">
      <c r="A18" s="6" t="s">
        <v>51</v>
      </c>
      <c r="B18" s="18">
        <f>IF(B1="ft",C17*18000/PI()/$B$16,C17*180*30/PI()/$B$16)</f>
        <v>0.14614343223754159</v>
      </c>
      <c r="C18" s="16" t="str">
        <f>IF(B1="ft","°/100 ft","°/30 m")</f>
        <v>°/100 ft</v>
      </c>
    </row>
    <row r="19" spans="1:9" ht="15" x14ac:dyDescent="0.25">
      <c r="A19" s="6" t="s">
        <v>63</v>
      </c>
      <c r="B19" s="21">
        <f>SAWA_SHAPE_FACTOR(C17)</f>
        <v>1.0000542201045466</v>
      </c>
      <c r="C19" s="22"/>
    </row>
    <row r="20" spans="1:9" x14ac:dyDescent="0.2">
      <c r="B20" s="13"/>
      <c r="C20" s="23"/>
    </row>
    <row r="21" spans="1:9" x14ac:dyDescent="0.2">
      <c r="A21" s="1" t="s">
        <v>73</v>
      </c>
      <c r="B21" s="13"/>
      <c r="C21" s="16"/>
    </row>
    <row r="22" spans="1:9" ht="15" x14ac:dyDescent="0.25">
      <c r="A22" s="6" t="s">
        <v>60</v>
      </c>
      <c r="B22" s="17">
        <v>298</v>
      </c>
      <c r="C22" s="16" t="str">
        <f>B1</f>
        <v>ft</v>
      </c>
    </row>
    <row r="23" spans="1:9" ht="15" x14ac:dyDescent="0.25">
      <c r="A23" s="6" t="s">
        <v>52</v>
      </c>
      <c r="C23" s="19">
        <f>B22/B16*C17</f>
        <v>7.6010385366767665E-3</v>
      </c>
      <c r="G23" s="6" t="s">
        <v>74</v>
      </c>
    </row>
    <row r="24" spans="1:9" ht="15" x14ac:dyDescent="0.25">
      <c r="A24" s="24" t="s">
        <v>53</v>
      </c>
      <c r="B24" s="13"/>
      <c r="C24" s="19">
        <f>(1-B22/B16)*C17</f>
        <v>1.7905802190426479E-2</v>
      </c>
      <c r="G24" s="6" t="s">
        <v>25</v>
      </c>
      <c r="H24" s="6" t="s">
        <v>26</v>
      </c>
      <c r="I24" s="6" t="s">
        <v>27</v>
      </c>
    </row>
    <row r="25" spans="1:9" ht="15" x14ac:dyDescent="0.25">
      <c r="A25" s="6" t="s">
        <v>62</v>
      </c>
      <c r="B25" s="21">
        <f>SAWA_SHAPE_FACTOR(C23)</f>
        <v>1.00000481467672</v>
      </c>
      <c r="G25">
        <v>1.6070962483115504E-2</v>
      </c>
      <c r="H25">
        <v>7.4940128797984298E-3</v>
      </c>
      <c r="I25">
        <v>9.9997743589942356</v>
      </c>
    </row>
    <row r="26" spans="1:9" x14ac:dyDescent="0.2">
      <c r="G26">
        <v>6.4281674181398255E-2</v>
      </c>
      <c r="H26">
        <v>2.9975036949810442E-2</v>
      </c>
      <c r="I26">
        <v>19.998194908611939</v>
      </c>
    </row>
    <row r="27" spans="1:9" ht="15" x14ac:dyDescent="0.25">
      <c r="A27" s="6" t="s">
        <v>42</v>
      </c>
      <c r="B27" s="13"/>
      <c r="C27" s="25">
        <f>SAWA_ALPHASTAR_APPROXIMATION($C$17,$C$24,1-$B$22/$B$16)</f>
        <v>0.70203861010878654</v>
      </c>
      <c r="D27" s="13"/>
      <c r="G27">
        <v>0.1446256081362183</v>
      </c>
      <c r="H27">
        <v>6.744002863924245E-2</v>
      </c>
      <c r="I27">
        <v>29.993908022760589</v>
      </c>
    </row>
    <row r="28" spans="1:9" ht="15" x14ac:dyDescent="0.25">
      <c r="A28" s="6" t="s">
        <v>43</v>
      </c>
      <c r="B28" s="13"/>
      <c r="C28" s="25">
        <f>SAWA_ALPHASTAR_APPROXIMATION($C$17,$C$23,$B$22/$B$16)</f>
        <v>0.29802944569908885</v>
      </c>
      <c r="D28" s="13"/>
      <c r="G28">
        <v>0.25709188706502578</v>
      </c>
      <c r="H28">
        <v>0.1198839157879415</v>
      </c>
      <c r="I28">
        <v>39.985560441891174</v>
      </c>
    </row>
    <row r="29" spans="1:9" x14ac:dyDescent="0.2">
      <c r="A29" s="6" t="s">
        <v>66</v>
      </c>
      <c r="G29">
        <v>0.57832622851922655</v>
      </c>
      <c r="H29">
        <v>0.269677949270413</v>
      </c>
      <c r="I29">
        <v>59.951273088802793</v>
      </c>
    </row>
    <row r="30" spans="1:9" ht="15" x14ac:dyDescent="0.25">
      <c r="A30" s="6" t="s">
        <v>57</v>
      </c>
      <c r="B30" s="25">
        <f>$C$27*E5+$C$28*E12</f>
        <v>0.25672857611331978</v>
      </c>
      <c r="G30">
        <v>1.027810744481183</v>
      </c>
      <c r="H30">
        <v>0.4792760212855659</v>
      </c>
      <c r="I30">
        <v>79.884521063731825</v>
      </c>
    </row>
    <row r="31" spans="1:9" ht="15" x14ac:dyDescent="0.25">
      <c r="A31" s="6" t="s">
        <v>58</v>
      </c>
      <c r="B31" s="25">
        <f>$C$27*E6+$C$28*E13</f>
        <v>0.13945311421403497</v>
      </c>
      <c r="G31">
        <v>2.310487366824709</v>
      </c>
      <c r="H31">
        <v>1.0773979532207387</v>
      </c>
      <c r="I31">
        <v>119.61046960139782</v>
      </c>
    </row>
    <row r="32" spans="1:9" ht="15" x14ac:dyDescent="0.25">
      <c r="A32" s="6" t="s">
        <v>59</v>
      </c>
      <c r="B32" s="25">
        <f>$C$27*E7+$C$28*E14</f>
        <v>0.95636983805577769</v>
      </c>
      <c r="G32">
        <v>4.1023437621542547</v>
      </c>
      <c r="H32">
        <v>1.9129543126769162</v>
      </c>
      <c r="I32">
        <v>159.07736849641361</v>
      </c>
    </row>
    <row r="33" spans="1:9" x14ac:dyDescent="0.2">
      <c r="A33" s="6" t="s">
        <v>67</v>
      </c>
      <c r="G33">
        <v>5.1880444999668551</v>
      </c>
      <c r="H33">
        <v>2.4192248811834638</v>
      </c>
      <c r="I33">
        <v>178.68693592929725</v>
      </c>
    </row>
    <row r="34" spans="1:9" ht="15" x14ac:dyDescent="0.25">
      <c r="A34" s="6" t="s">
        <v>61</v>
      </c>
      <c r="B34" s="18">
        <f>B22</f>
        <v>298</v>
      </c>
      <c r="C34" t="str">
        <f>B1</f>
        <v>ft</v>
      </c>
      <c r="G34">
        <v>9.196978458844022</v>
      </c>
      <c r="H34">
        <v>4.2886214872455213</v>
      </c>
      <c r="I34">
        <v>236.89285746689703</v>
      </c>
    </row>
    <row r="35" spans="1:9" x14ac:dyDescent="0.2">
      <c r="B35" s="6" t="s">
        <v>46</v>
      </c>
      <c r="C35" s="6" t="s">
        <v>47</v>
      </c>
      <c r="G35">
        <v>11.619821162473508</v>
      </c>
      <c r="H35">
        <v>5.4184115944529125</v>
      </c>
      <c r="I35">
        <v>265.58054363253581</v>
      </c>
    </row>
    <row r="36" spans="1:9" ht="15" x14ac:dyDescent="0.25">
      <c r="A36" s="6" t="s">
        <v>71</v>
      </c>
      <c r="B36" s="18">
        <f>TOGRAD(C36)</f>
        <v>16.987241283269078</v>
      </c>
      <c r="C36" s="18">
        <f>ATAN(SQRT(B30*B30+B31*B31)/B32)</f>
        <v>0.29648329122375222</v>
      </c>
      <c r="G36">
        <v>14.129401291356409</v>
      </c>
      <c r="H36">
        <v>6.5886480273046164</v>
      </c>
      <c r="I36">
        <v>292.06448135335427</v>
      </c>
    </row>
    <row r="37" spans="1:9" ht="15" x14ac:dyDescent="0.25">
      <c r="A37" s="6" t="s">
        <v>72</v>
      </c>
      <c r="B37" s="18">
        <f>TOGRAD(C37)</f>
        <v>28.510490821489416</v>
      </c>
      <c r="C37" s="18">
        <f>ATAN(B31/B30)</f>
        <v>0.49760193619461296</v>
      </c>
    </row>
    <row r="38" spans="1:9" x14ac:dyDescent="0.2">
      <c r="A38" s="6" t="s">
        <v>68</v>
      </c>
    </row>
    <row r="39" spans="1:9" x14ac:dyDescent="0.2">
      <c r="A39" s="6" t="s">
        <v>25</v>
      </c>
      <c r="B39" s="13">
        <f>IF($B$1="ft",$H$5+$B$34*$B$25/2*0.3048*(SIN($C$6)*COS($C$7)+SIN($C$36)*COS($C$37)),$H$5+$B$34*$B$25/2*(SIN($C$6)*COS($C$7)+SIN($C$36)*COS($C$37)))</f>
        <v>23.158679884190427</v>
      </c>
      <c r="C39" s="6" t="s">
        <v>7</v>
      </c>
    </row>
    <row r="40" spans="1:9" x14ac:dyDescent="0.2">
      <c r="A40" s="6" t="s">
        <v>26</v>
      </c>
      <c r="B40" s="13">
        <f>IF($B$1="ft",$H$6+$B$34*$B$25/2*0.3048*(SIN($C$6)*SIN($C$7)+SIN($C$36)*SIN($C$37)),$H$6+$B$34*$B$25/2*(SIN($C$6)*SIN($C$7)+SIN($C$36)*SIN($C$37)))</f>
        <v>12.972413252490627</v>
      </c>
      <c r="C40" s="6" t="s">
        <v>7</v>
      </c>
    </row>
    <row r="41" spans="1:9" x14ac:dyDescent="0.2">
      <c r="A41" s="6" t="s">
        <v>27</v>
      </c>
      <c r="B41" s="13">
        <f>$H$7+$B$34*$B$25/2*(COS($C$6)+COS($C$36))</f>
        <v>284.98988663636942</v>
      </c>
      <c r="C41" t="str">
        <f>$B$1</f>
        <v>ft</v>
      </c>
    </row>
  </sheetData>
  <conditionalFormatting sqref="C17">
    <cfRule type="colorScale" priority="1">
      <colorScale>
        <cfvo type="num" val="0.02"/>
        <cfvo type="num" val="2.1000000000000001E-2"/>
        <color rgb="FFFF0000"/>
        <color rgb="FF92D050"/>
      </colorScale>
    </cfRule>
  </conditionalFormatting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142"/>
  <sheetViews>
    <sheetView workbookViewId="0">
      <selection activeCell="V25" sqref="V25"/>
    </sheetView>
  </sheetViews>
  <sheetFormatPr defaultRowHeight="12.75" x14ac:dyDescent="0.2"/>
  <sheetData>
    <row r="1" spans="1:9" x14ac:dyDescent="0.2">
      <c r="A1" t="s">
        <v>80</v>
      </c>
      <c r="B1" t="s">
        <v>81</v>
      </c>
      <c r="C1" t="s">
        <v>82</v>
      </c>
      <c r="D1" s="6" t="s">
        <v>83</v>
      </c>
      <c r="F1" t="s">
        <v>80</v>
      </c>
      <c r="G1" t="s">
        <v>81</v>
      </c>
      <c r="H1" t="s">
        <v>82</v>
      </c>
      <c r="I1" s="6" t="s">
        <v>83</v>
      </c>
    </row>
    <row r="2" spans="1:9" x14ac:dyDescent="0.2">
      <c r="A2">
        <v>0</v>
      </c>
      <c r="B2">
        <v>0</v>
      </c>
      <c r="C2">
        <v>0</v>
      </c>
      <c r="D2">
        <f>SQRT(A2^2+B2^2)</f>
        <v>0</v>
      </c>
      <c r="F2">
        <v>0</v>
      </c>
      <c r="G2">
        <v>0</v>
      </c>
      <c r="H2">
        <v>0</v>
      </c>
      <c r="I2">
        <f>SQRT(F2^2+G2^2)</f>
        <v>0</v>
      </c>
    </row>
    <row r="3" spans="1:9" x14ac:dyDescent="0.2">
      <c r="A3">
        <v>4.5502018650212497</v>
      </c>
      <c r="B3">
        <v>1.30305959135807</v>
      </c>
      <c r="C3">
        <v>299.57960207003703</v>
      </c>
      <c r="D3">
        <f t="shared" ref="D3:D11" si="0">SQRT(A3^2+B3^2)</f>
        <v>4.7331069405912558</v>
      </c>
      <c r="F3">
        <v>0.51775923232783205</v>
      </c>
      <c r="G3">
        <v>0.24428476089791301</v>
      </c>
      <c r="H3">
        <v>49.964624498279001</v>
      </c>
      <c r="I3">
        <f t="shared" ref="I3:I66" si="1">SQRT(F3^2+G3^2)</f>
        <v>0.57249425068524185</v>
      </c>
    </row>
    <row r="4" spans="1:9" x14ac:dyDescent="0.2">
      <c r="A4">
        <v>12.907938719511</v>
      </c>
      <c r="B4">
        <v>5.5088800311524002</v>
      </c>
      <c r="C4">
        <v>597.92088319043</v>
      </c>
      <c r="D4">
        <f t="shared" si="0"/>
        <v>14.034337931811423</v>
      </c>
      <c r="F4">
        <v>1.1317985887328801</v>
      </c>
      <c r="G4">
        <v>0.47773841432642</v>
      </c>
      <c r="H4">
        <v>99.918067405047196</v>
      </c>
      <c r="I4">
        <f t="shared" si="1"/>
        <v>1.2284958436970235</v>
      </c>
    </row>
    <row r="5" spans="1:9" x14ac:dyDescent="0.2">
      <c r="A5">
        <v>26.741942607241398</v>
      </c>
      <c r="B5">
        <v>13.1795138052982</v>
      </c>
      <c r="C5">
        <v>893.32488984617896</v>
      </c>
      <c r="D5">
        <f t="shared" si="0"/>
        <v>29.813270175427565</v>
      </c>
      <c r="F5">
        <v>1.8420932207416001</v>
      </c>
      <c r="G5">
        <v>0.70035151306219001</v>
      </c>
      <c r="H5">
        <v>149.85830724270301</v>
      </c>
      <c r="I5">
        <f t="shared" si="1"/>
        <v>1.9707358208929628</v>
      </c>
    </row>
    <row r="6" spans="1:9" x14ac:dyDescent="0.2">
      <c r="A6">
        <v>95.924327313305398</v>
      </c>
      <c r="B6">
        <v>49.613364867261602</v>
      </c>
      <c r="C6">
        <v>1962.8461543021699</v>
      </c>
      <c r="D6">
        <f t="shared" si="0"/>
        <v>107.99519685598139</v>
      </c>
      <c r="F6">
        <v>2.6486143846957901</v>
      </c>
      <c r="G6">
        <v>0.91211504856914605</v>
      </c>
      <c r="H6">
        <v>199.78332306793899</v>
      </c>
      <c r="I6">
        <f t="shared" si="1"/>
        <v>2.8012697157974191</v>
      </c>
    </row>
    <row r="7" spans="1:9" x14ac:dyDescent="0.2">
      <c r="A7">
        <v>167.17627463607801</v>
      </c>
      <c r="B7">
        <v>89.057817507698104</v>
      </c>
      <c r="C7">
        <v>2926.4713570654499</v>
      </c>
      <c r="D7">
        <f t="shared" si="0"/>
        <v>189.41806054447881</v>
      </c>
      <c r="F7">
        <v>3.5513294429157898</v>
      </c>
      <c r="G7">
        <v>1.113020451363</v>
      </c>
      <c r="H7">
        <v>249.69109455351901</v>
      </c>
      <c r="I7">
        <f t="shared" si="1"/>
        <v>3.7216602931047951</v>
      </c>
    </row>
    <row r="8" spans="1:9" x14ac:dyDescent="0.2">
      <c r="A8">
        <v>232.97344809209099</v>
      </c>
      <c r="B8">
        <v>142.96611449346</v>
      </c>
      <c r="C8">
        <v>3886.2187636684098</v>
      </c>
      <c r="D8">
        <f t="shared" si="0"/>
        <v>273.34216178496013</v>
      </c>
      <c r="F8">
        <v>4.5502018650212497</v>
      </c>
      <c r="G8">
        <v>1.30305959135807</v>
      </c>
      <c r="H8">
        <v>299.57960207003703</v>
      </c>
      <c r="I8">
        <f t="shared" si="1"/>
        <v>4.7331069405912558</v>
      </c>
    </row>
    <row r="9" spans="1:9" x14ac:dyDescent="0.2">
      <c r="A9">
        <v>303.61988238259801</v>
      </c>
      <c r="B9">
        <v>192.43328033130999</v>
      </c>
      <c r="C9">
        <v>4844.3565375318803</v>
      </c>
      <c r="D9">
        <f t="shared" si="0"/>
        <v>359.46571513440773</v>
      </c>
      <c r="F9">
        <v>5.6550030950364398</v>
      </c>
      <c r="G9">
        <v>1.57379942139693</v>
      </c>
      <c r="H9">
        <v>349.43974633554802</v>
      </c>
      <c r="I9">
        <f t="shared" si="1"/>
        <v>5.8699152143502911</v>
      </c>
    </row>
    <row r="10" spans="1:9" x14ac:dyDescent="0.2">
      <c r="A10">
        <v>384.095491827182</v>
      </c>
      <c r="B10">
        <v>229.959673310011</v>
      </c>
      <c r="C10">
        <v>5800.8683765761598</v>
      </c>
      <c r="D10">
        <f t="shared" si="0"/>
        <v>447.67264623920437</v>
      </c>
      <c r="F10">
        <v>6.8753903211612402</v>
      </c>
      <c r="G10">
        <v>2.0167731899754102</v>
      </c>
      <c r="H10">
        <v>399.25759378705698</v>
      </c>
      <c r="I10">
        <f t="shared" si="1"/>
        <v>7.1650796344577534</v>
      </c>
    </row>
    <row r="11" spans="1:9" x14ac:dyDescent="0.2">
      <c r="A11">
        <v>463.07041725750202</v>
      </c>
      <c r="B11">
        <v>271.07141730881699</v>
      </c>
      <c r="C11">
        <v>6757.22498348305</v>
      </c>
      <c r="D11">
        <f t="shared" si="0"/>
        <v>536.57611260738008</v>
      </c>
      <c r="F11">
        <v>8.2111365954393207</v>
      </c>
      <c r="G11">
        <v>2.6318985199681602</v>
      </c>
      <c r="H11">
        <v>449.02388010384101</v>
      </c>
      <c r="I11">
        <f t="shared" si="1"/>
        <v>8.6226245429320088</v>
      </c>
    </row>
    <row r="12" spans="1:9" x14ac:dyDescent="0.2">
      <c r="F12">
        <v>9.6619935172969402</v>
      </c>
      <c r="G12">
        <v>3.4190610202757501</v>
      </c>
      <c r="H12">
        <v>498.729350553686</v>
      </c>
      <c r="I12">
        <f t="shared" si="1"/>
        <v>10.249102252814982</v>
      </c>
    </row>
    <row r="13" spans="1:9" x14ac:dyDescent="0.2">
      <c r="F13">
        <v>11.227691279736501</v>
      </c>
      <c r="G13">
        <v>4.3781143070972597</v>
      </c>
      <c r="H13">
        <v>548.36476171393599</v>
      </c>
      <c r="I13">
        <f t="shared" si="1"/>
        <v>12.051096894435824</v>
      </c>
    </row>
    <row r="14" spans="1:9" x14ac:dyDescent="0.2">
      <c r="F14">
        <v>12.907938719511</v>
      </c>
      <c r="G14">
        <v>5.5088800311523798</v>
      </c>
      <c r="H14">
        <v>597.92088319042898</v>
      </c>
      <c r="I14">
        <f t="shared" si="1"/>
        <v>14.034337931811415</v>
      </c>
    </row>
    <row r="15" spans="1:9" x14ac:dyDescent="0.2">
      <c r="F15">
        <v>14.740342139454301</v>
      </c>
      <c r="G15">
        <v>6.7359154935030201</v>
      </c>
      <c r="H15">
        <v>647.39429402583801</v>
      </c>
      <c r="I15">
        <f t="shared" si="1"/>
        <v>16.206487710907204</v>
      </c>
    </row>
    <row r="16" spans="1:9" x14ac:dyDescent="0.2">
      <c r="F16">
        <v>16.762512302899399</v>
      </c>
      <c r="G16">
        <v>7.9837815641582202</v>
      </c>
      <c r="H16">
        <v>696.78245033896496</v>
      </c>
      <c r="I16">
        <f t="shared" si="1"/>
        <v>18.566706406065844</v>
      </c>
    </row>
    <row r="17" spans="6:9" x14ac:dyDescent="0.2">
      <c r="F17">
        <v>18.974126012103302</v>
      </c>
      <c r="G17">
        <v>9.2522788002102008</v>
      </c>
      <c r="H17">
        <v>746.07745856035001</v>
      </c>
      <c r="I17">
        <f t="shared" si="1"/>
        <v>21.109763639605116</v>
      </c>
    </row>
    <row r="18" spans="6:9" x14ac:dyDescent="0.2">
      <c r="F18">
        <v>21.374829791096602</v>
      </c>
      <c r="G18">
        <v>10.541204461330199</v>
      </c>
      <c r="H18">
        <v>795.27144000812802</v>
      </c>
      <c r="I18">
        <f t="shared" si="1"/>
        <v>23.832757710636812</v>
      </c>
    </row>
    <row r="19" spans="6:9" x14ac:dyDescent="0.2">
      <c r="F19">
        <v>23.964239942178299</v>
      </c>
      <c r="G19">
        <v>11.8503525421724</v>
      </c>
      <c r="H19">
        <v>844.35653214726005</v>
      </c>
      <c r="I19">
        <f t="shared" si="1"/>
        <v>26.73416636777862</v>
      </c>
    </row>
    <row r="20" spans="6:9" x14ac:dyDescent="0.2">
      <c r="F20">
        <v>26.741942607241299</v>
      </c>
      <c r="G20">
        <v>13.1795138052982</v>
      </c>
      <c r="H20">
        <v>893.32488984617601</v>
      </c>
      <c r="I20">
        <f t="shared" si="1"/>
        <v>29.813270175427476</v>
      </c>
    </row>
    <row r="21" spans="6:9" x14ac:dyDescent="0.2">
      <c r="F21">
        <v>29.626121586598199</v>
      </c>
      <c r="G21">
        <v>14.5330539004198</v>
      </c>
      <c r="H21">
        <v>942.22007298239998</v>
      </c>
      <c r="I21">
        <f t="shared" si="1"/>
        <v>32.998738399163187</v>
      </c>
    </row>
    <row r="22" spans="6:9" x14ac:dyDescent="0.2">
      <c r="F22">
        <v>32.535239093816401</v>
      </c>
      <c r="G22">
        <v>15.9154736650227</v>
      </c>
      <c r="H22">
        <v>991.09065010849304</v>
      </c>
      <c r="I22">
        <f t="shared" si="1"/>
        <v>36.2193882454388</v>
      </c>
    </row>
    <row r="23" spans="6:9" x14ac:dyDescent="0.2">
      <c r="F23">
        <v>35.469276187810102</v>
      </c>
      <c r="G23">
        <v>17.326764098256699</v>
      </c>
      <c r="H23">
        <v>1039.9363030311199</v>
      </c>
      <c r="I23">
        <f t="shared" si="1"/>
        <v>39.475135305705919</v>
      </c>
    </row>
    <row r="24" spans="6:9" x14ac:dyDescent="0.2">
      <c r="F24">
        <v>38.428213765244003</v>
      </c>
      <c r="G24">
        <v>18.766916011296299</v>
      </c>
      <c r="H24">
        <v>1088.75671371925</v>
      </c>
      <c r="I24">
        <f t="shared" si="1"/>
        <v>42.7659297778306</v>
      </c>
    </row>
    <row r="25" spans="6:9" x14ac:dyDescent="0.2">
      <c r="F25">
        <v>41.412032560657103</v>
      </c>
      <c r="G25">
        <v>20.235920027400802</v>
      </c>
      <c r="H25">
        <v>1137.5515643061699</v>
      </c>
      <c r="I25">
        <f t="shared" si="1"/>
        <v>46.091744381833557</v>
      </c>
    </row>
    <row r="26" spans="6:9" x14ac:dyDescent="0.2">
      <c r="F26">
        <v>44.420713146588298</v>
      </c>
      <c r="G26">
        <v>21.733766581975299</v>
      </c>
      <c r="H26">
        <v>1186.32053709161</v>
      </c>
      <c r="I26">
        <f t="shared" si="1"/>
        <v>49.452566832180395</v>
      </c>
    </row>
    <row r="27" spans="6:9" x14ac:dyDescent="0.2">
      <c r="F27">
        <v>47.454235933703004</v>
      </c>
      <c r="G27">
        <v>23.260445922632702</v>
      </c>
      <c r="H27">
        <v>1235.0633145437801</v>
      </c>
      <c r="I27">
        <f t="shared" si="1"/>
        <v>52.84839498576347</v>
      </c>
    </row>
    <row r="28" spans="6:9" x14ac:dyDescent="0.2">
      <c r="F28">
        <v>50.512581170920399</v>
      </c>
      <c r="G28">
        <v>24.815948109257501</v>
      </c>
      <c r="H28">
        <v>1283.77957930144</v>
      </c>
      <c r="I28">
        <f t="shared" si="1"/>
        <v>56.279233622271214</v>
      </c>
    </row>
    <row r="29" spans="6:9" x14ac:dyDescent="0.2">
      <c r="F29">
        <v>53.595728945542497</v>
      </c>
      <c r="G29">
        <v>26.4002630140705</v>
      </c>
      <c r="H29">
        <v>1332.46901417599</v>
      </c>
      <c r="I29">
        <f t="shared" si="1"/>
        <v>59.745092253809105</v>
      </c>
    </row>
    <row r="30" spans="6:9" x14ac:dyDescent="0.2">
      <c r="F30">
        <v>56.703659183383202</v>
      </c>
      <c r="G30">
        <v>28.013380321694498</v>
      </c>
      <c r="H30">
        <v>1381.1313021535</v>
      </c>
      <c r="I30">
        <f t="shared" si="1"/>
        <v>63.245983602385209</v>
      </c>
    </row>
    <row r="31" spans="6:9" x14ac:dyDescent="0.2">
      <c r="F31">
        <v>59.836351648899502</v>
      </c>
      <c r="G31">
        <v>29.6552895292218</v>
      </c>
      <c r="H31">
        <v>1429.7661263968</v>
      </c>
      <c r="I31">
        <f t="shared" si="1"/>
        <v>66.781922521837672</v>
      </c>
    </row>
    <row r="32" spans="6:9" x14ac:dyDescent="0.2">
      <c r="F32">
        <v>62.993785945323097</v>
      </c>
      <c r="G32">
        <v>31.3259799462822</v>
      </c>
      <c r="H32">
        <v>1478.37317024754</v>
      </c>
      <c r="I32">
        <f t="shared" si="1"/>
        <v>70.352925222197129</v>
      </c>
    </row>
    <row r="33" spans="6:9" x14ac:dyDescent="0.2">
      <c r="F33">
        <v>66.175941514792996</v>
      </c>
      <c r="G33">
        <v>33.025440695112998</v>
      </c>
      <c r="H33">
        <v>1526.95211722824</v>
      </c>
      <c r="I33">
        <f t="shared" si="1"/>
        <v>73.959008703982292</v>
      </c>
    </row>
    <row r="34" spans="6:9" x14ac:dyDescent="0.2">
      <c r="F34">
        <v>69.382797638489507</v>
      </c>
      <c r="G34">
        <v>34.753660710629497</v>
      </c>
      <c r="H34">
        <v>1575.5026510443499</v>
      </c>
      <c r="I34">
        <f t="shared" si="1"/>
        <v>77.600190340830594</v>
      </c>
    </row>
    <row r="35" spans="6:9" x14ac:dyDescent="0.2">
      <c r="F35">
        <v>72.6143334367693</v>
      </c>
      <c r="G35">
        <v>36.510628740497403</v>
      </c>
      <c r="H35">
        <v>1624.0244555863301</v>
      </c>
      <c r="I35">
        <f t="shared" si="1"/>
        <v>81.276487568624333</v>
      </c>
    </row>
    <row r="36" spans="6:9" x14ac:dyDescent="0.2">
      <c r="F36">
        <v>75.870527869301</v>
      </c>
      <c r="G36">
        <v>38.296333345205497</v>
      </c>
      <c r="H36">
        <v>1672.51721493169</v>
      </c>
      <c r="I36">
        <f t="shared" si="1"/>
        <v>84.987917652178524</v>
      </c>
    </row>
    <row r="37" spans="6:9" x14ac:dyDescent="0.2">
      <c r="F37">
        <v>79.151359735202703</v>
      </c>
      <c r="G37">
        <v>40.110762898140699</v>
      </c>
      <c r="H37">
        <v>1720.9806133470399</v>
      </c>
      <c r="I37">
        <f t="shared" si="1"/>
        <v>88.734497509155531</v>
      </c>
    </row>
    <row r="38" spans="6:9" x14ac:dyDescent="0.2">
      <c r="F38">
        <v>82.456807673179199</v>
      </c>
      <c r="G38">
        <v>41.953905585663698</v>
      </c>
      <c r="H38">
        <v>1769.4143352901799</v>
      </c>
      <c r="I38">
        <f t="shared" si="1"/>
        <v>92.516243576695473</v>
      </c>
    </row>
    <row r="39" spans="6:9" x14ac:dyDescent="0.2">
      <c r="F39">
        <v>85.786850161662102</v>
      </c>
      <c r="G39">
        <v>43.825749407185398</v>
      </c>
      <c r="H39">
        <v>1817.8180654121099</v>
      </c>
      <c r="I39">
        <f t="shared" si="1"/>
        <v>96.333171710272666</v>
      </c>
    </row>
    <row r="40" spans="6:9" x14ac:dyDescent="0.2">
      <c r="F40">
        <v>89.141465518948905</v>
      </c>
      <c r="G40">
        <v>45.7262821752457</v>
      </c>
      <c r="H40">
        <v>1866.19148855911</v>
      </c>
      <c r="I40">
        <f t="shared" si="1"/>
        <v>100.18529710709126</v>
      </c>
    </row>
    <row r="41" spans="6:9" x14ac:dyDescent="0.2">
      <c r="F41">
        <v>92.520631903344906</v>
      </c>
      <c r="G41">
        <v>47.655491515592303</v>
      </c>
      <c r="H41">
        <v>1914.5342897748001</v>
      </c>
      <c r="I41">
        <f t="shared" si="1"/>
        <v>104.07263424833127</v>
      </c>
    </row>
    <row r="42" spans="6:9" x14ac:dyDescent="0.2">
      <c r="F42">
        <v>95.924327313305298</v>
      </c>
      <c r="G42">
        <v>49.613364867261502</v>
      </c>
      <c r="H42">
        <v>1962.8461543021699</v>
      </c>
      <c r="I42">
        <f t="shared" si="1"/>
        <v>107.99519685598128</v>
      </c>
    </row>
    <row r="43" spans="6:9" x14ac:dyDescent="0.2">
      <c r="F43">
        <v>99.347622111050597</v>
      </c>
      <c r="G43">
        <v>51.585573178919702</v>
      </c>
      <c r="H43">
        <v>2011.13684420201</v>
      </c>
      <c r="I43">
        <f t="shared" si="1"/>
        <v>111.94204473439723</v>
      </c>
    </row>
    <row r="44" spans="6:9" x14ac:dyDescent="0.2">
      <c r="F44">
        <v>102.785599429172</v>
      </c>
      <c r="G44">
        <v>53.557794580028897</v>
      </c>
      <c r="H44">
        <v>2059.4162995701499</v>
      </c>
      <c r="I44">
        <f t="shared" si="1"/>
        <v>115.90218639133076</v>
      </c>
    </row>
    <row r="45" spans="6:9" x14ac:dyDescent="0.2">
      <c r="F45">
        <v>106.238256391484</v>
      </c>
      <c r="G45">
        <v>55.5300271407854</v>
      </c>
      <c r="H45">
        <v>2107.6844727809898</v>
      </c>
      <c r="I45">
        <f t="shared" si="1"/>
        <v>119.87556479683028</v>
      </c>
    </row>
    <row r="46" spans="6:9" x14ac:dyDescent="0.2">
      <c r="F46">
        <v>109.705590049666</v>
      </c>
      <c r="G46">
        <v>57.5022689311497</v>
      </c>
      <c r="H46">
        <v>2155.9413162596802</v>
      </c>
      <c r="I46">
        <f t="shared" si="1"/>
        <v>123.86213069528411</v>
      </c>
    </row>
    <row r="47" spans="6:9" x14ac:dyDescent="0.2">
      <c r="F47">
        <v>113.187597383316</v>
      </c>
      <c r="G47">
        <v>59.4745180208782</v>
      </c>
      <c r="H47">
        <v>2204.1867824829001</v>
      </c>
      <c r="I47">
        <f t="shared" si="1"/>
        <v>127.86184143529066</v>
      </c>
    </row>
    <row r="48" spans="6:9" x14ac:dyDescent="0.2">
      <c r="F48">
        <v>116.684275299986</v>
      </c>
      <c r="G48">
        <v>61.446772479555598</v>
      </c>
      <c r="H48">
        <v>2252.4208239796899</v>
      </c>
      <c r="I48">
        <f t="shared" si="1"/>
        <v>131.87466000121933</v>
      </c>
    </row>
    <row r="49" spans="6:9" x14ac:dyDescent="0.2">
      <c r="F49">
        <v>120.195620635243</v>
      </c>
      <c r="G49">
        <v>63.419030376626999</v>
      </c>
      <c r="H49">
        <v>2300.6433933322201</v>
      </c>
      <c r="I49">
        <f t="shared" si="1"/>
        <v>135.90055420712159</v>
      </c>
    </row>
    <row r="50" spans="6:9" x14ac:dyDescent="0.2">
      <c r="F50">
        <v>123.721630152711</v>
      </c>
      <c r="G50">
        <v>65.391289781429904</v>
      </c>
      <c r="H50">
        <v>2348.8544431765999</v>
      </c>
      <c r="I50">
        <f t="shared" si="1"/>
        <v>139.93949602211359</v>
      </c>
    </row>
    <row r="51" spans="6:9" x14ac:dyDescent="0.2">
      <c r="F51">
        <v>127.262300544124</v>
      </c>
      <c r="G51">
        <v>67.363548763226504</v>
      </c>
      <c r="H51">
        <v>2397.05392620362</v>
      </c>
      <c r="I51">
        <f t="shared" si="1"/>
        <v>143.99146100293078</v>
      </c>
    </row>
    <row r="52" spans="6:9" x14ac:dyDescent="0.2">
      <c r="F52">
        <v>130.817628429384</v>
      </c>
      <c r="G52">
        <v>69.335805391235695</v>
      </c>
      <c r="H52">
        <v>2445.2417951595899</v>
      </c>
      <c r="I52">
        <f t="shared" si="1"/>
        <v>148.05642781432925</v>
      </c>
    </row>
    <row r="53" spans="6:9" x14ac:dyDescent="0.2">
      <c r="F53">
        <v>134.38761035661199</v>
      </c>
      <c r="G53">
        <v>71.308057734664999</v>
      </c>
      <c r="H53">
        <v>2493.4180028471101</v>
      </c>
      <c r="I53">
        <f t="shared" si="1"/>
        <v>152.13437782188115</v>
      </c>
    </row>
    <row r="54" spans="6:9" x14ac:dyDescent="0.2">
      <c r="F54">
        <v>137.972242802209</v>
      </c>
      <c r="G54">
        <v>73.280303862743096</v>
      </c>
      <c r="H54">
        <v>2541.5825021258702</v>
      </c>
      <c r="I54">
        <f t="shared" si="1"/>
        <v>156.22529474476173</v>
      </c>
    </row>
    <row r="55" spans="6:9" x14ac:dyDescent="0.2">
      <c r="F55">
        <v>141.57152217091101</v>
      </c>
      <c r="G55">
        <v>75.252541844751704</v>
      </c>
      <c r="H55">
        <v>2589.7352459133799</v>
      </c>
      <c r="I55">
        <f t="shared" si="1"/>
        <v>160.32916435846863</v>
      </c>
    </row>
    <row r="56" spans="6:9" x14ac:dyDescent="0.2">
      <c r="F56">
        <v>145.185444795851</v>
      </c>
      <c r="G56">
        <v>77.224769750058002</v>
      </c>
      <c r="H56">
        <v>2637.8761871858101</v>
      </c>
      <c r="I56">
        <f t="shared" si="1"/>
        <v>164.44597423931839</v>
      </c>
    </row>
    <row r="57" spans="6:9" x14ac:dyDescent="0.2">
      <c r="F57">
        <v>148.814006938625</v>
      </c>
      <c r="G57">
        <v>79.196985648145997</v>
      </c>
      <c r="H57">
        <v>2686.0052789787801</v>
      </c>
      <c r="I57">
        <f t="shared" si="1"/>
        <v>168.57571354403865</v>
      </c>
    </row>
    <row r="58" spans="6:9" x14ac:dyDescent="0.2">
      <c r="F58">
        <v>152.45720478934899</v>
      </c>
      <c r="G58">
        <v>81.169187608649693</v>
      </c>
      <c r="H58">
        <v>2734.1224743880698</v>
      </c>
      <c r="I58">
        <f t="shared" si="1"/>
        <v>172.71837281896117</v>
      </c>
    </row>
    <row r="59" spans="6:9" x14ac:dyDescent="0.2">
      <c r="F59">
        <v>156.11503446673001</v>
      </c>
      <c r="G59">
        <v>83.141373701384495</v>
      </c>
      <c r="H59">
        <v>2782.2277265704602</v>
      </c>
      <c r="I59">
        <f t="shared" si="1"/>
        <v>176.87394383430694</v>
      </c>
    </row>
    <row r="60" spans="6:9" x14ac:dyDescent="0.2">
      <c r="F60">
        <v>159.78749201813301</v>
      </c>
      <c r="G60">
        <v>85.113541996379297</v>
      </c>
      <c r="H60">
        <v>2830.32098874449</v>
      </c>
      <c r="I60">
        <f t="shared" si="1"/>
        <v>181.04241943979412</v>
      </c>
    </row>
    <row r="61" spans="6:9" x14ac:dyDescent="0.2">
      <c r="F61">
        <v>163.47457341964699</v>
      </c>
      <c r="G61">
        <v>87.085690563908997</v>
      </c>
      <c r="H61">
        <v>2878.4022141912301</v>
      </c>
      <c r="I61">
        <f t="shared" si="1"/>
        <v>185.22379343844693</v>
      </c>
    </row>
    <row r="62" spans="6:9" x14ac:dyDescent="0.2">
      <c r="F62">
        <v>167.176274576157</v>
      </c>
      <c r="G62">
        <v>89.057817474526402</v>
      </c>
      <c r="H62">
        <v>2926.4713562550601</v>
      </c>
      <c r="I62">
        <f t="shared" si="1"/>
        <v>189.41806047599763</v>
      </c>
    </row>
    <row r="63" spans="6:9" x14ac:dyDescent="0.2">
      <c r="F63">
        <v>170.86465977481001</v>
      </c>
      <c r="G63">
        <v>91.066322397470103</v>
      </c>
      <c r="H63">
        <v>2974.5352396246899</v>
      </c>
      <c r="I63">
        <f t="shared" si="1"/>
        <v>193.61768265053053</v>
      </c>
    </row>
    <row r="64" spans="6:9" x14ac:dyDescent="0.2">
      <c r="F64">
        <v>174.51172208685301</v>
      </c>
      <c r="G64">
        <v>93.147565575355202</v>
      </c>
      <c r="H64">
        <v>3022.59975461064</v>
      </c>
      <c r="I64">
        <f t="shared" si="1"/>
        <v>197.81509072447966</v>
      </c>
    </row>
    <row r="65" spans="6:9" x14ac:dyDescent="0.2">
      <c r="F65">
        <v>178.11735161738201</v>
      </c>
      <c r="G65">
        <v>95.301484295236193</v>
      </c>
      <c r="H65">
        <v>3070.6634529115699</v>
      </c>
      <c r="I65">
        <f t="shared" si="1"/>
        <v>202.010306311498</v>
      </c>
    </row>
    <row r="66" spans="6:9" x14ac:dyDescent="0.2">
      <c r="F66">
        <v>181.681439719965</v>
      </c>
      <c r="G66">
        <v>97.528013654276194</v>
      </c>
      <c r="H66">
        <v>3118.7248862507499</v>
      </c>
      <c r="I66">
        <f t="shared" si="1"/>
        <v>206.20344077165143</v>
      </c>
    </row>
    <row r="67" spans="6:9" x14ac:dyDescent="0.2">
      <c r="F67">
        <v>185.203878999913</v>
      </c>
      <c r="G67">
        <v>99.827086561702004</v>
      </c>
      <c r="H67">
        <v>3166.7826064196802</v>
      </c>
      <c r="I67">
        <f t="shared" ref="I67:I130" si="2">SQRT(F67^2+G67^2)</f>
        <v>210.39468626372661</v>
      </c>
    </row>
    <row r="68" spans="6:9" x14ac:dyDescent="0.2">
      <c r="F68">
        <v>188.68456331751901</v>
      </c>
      <c r="G68">
        <v>102.198633740825</v>
      </c>
      <c r="H68">
        <v>3214.8351653217701</v>
      </c>
      <c r="I68">
        <f t="shared" si="2"/>
        <v>214.58430784382656</v>
      </c>
    </row>
    <row r="69" spans="6:9" x14ac:dyDescent="0.2">
      <c r="F69">
        <v>192.123387791254</v>
      </c>
      <c r="G69">
        <v>104.642583731133</v>
      </c>
      <c r="H69">
        <v>3262.8811150159199</v>
      </c>
      <c r="I69">
        <f t="shared" si="2"/>
        <v>218.77263646607119</v>
      </c>
    </row>
    <row r="70" spans="6:9" x14ac:dyDescent="0.2">
      <c r="F70">
        <v>195.52024880093001</v>
      </c>
      <c r="G70">
        <v>107.158862890436</v>
      </c>
      <c r="H70">
        <v>3310.9190077602102</v>
      </c>
      <c r="I70">
        <f t="shared" si="2"/>
        <v>222.96006276270384</v>
      </c>
    </row>
    <row r="71" spans="6:9" x14ac:dyDescent="0.2">
      <c r="F71">
        <v>198.87504399081899</v>
      </c>
      <c r="G71">
        <v>109.747395397091</v>
      </c>
      <c r="H71">
        <v>3358.9473960554901</v>
      </c>
      <c r="I71">
        <f t="shared" si="2"/>
        <v>227.14703149897343</v>
      </c>
    </row>
    <row r="72" spans="6:9" x14ac:dyDescent="0.2">
      <c r="F72">
        <v>202.187672272741</v>
      </c>
      <c r="G72">
        <v>112.408103252285</v>
      </c>
      <c r="H72">
        <v>3406.9648326889901</v>
      </c>
      <c r="I72">
        <f t="shared" si="2"/>
        <v>231.33403661339091</v>
      </c>
    </row>
    <row r="73" spans="6:9" x14ac:dyDescent="0.2">
      <c r="F73">
        <v>205.458033829106</v>
      </c>
      <c r="G73">
        <v>115.140906282385</v>
      </c>
      <c r="H73">
        <v>3454.9698707779498</v>
      </c>
      <c r="I73">
        <f t="shared" si="2"/>
        <v>235.52161676680771</v>
      </c>
    </row>
    <row r="74" spans="6:9" x14ac:dyDescent="0.2">
      <c r="F74">
        <v>208.68603011592501</v>
      </c>
      <c r="G74">
        <v>117.94572214135501</v>
      </c>
      <c r="H74">
        <v>3502.9610638132099</v>
      </c>
      <c r="I74">
        <f t="shared" si="2"/>
        <v>239.71035133466907</v>
      </c>
    </row>
    <row r="75" spans="6:9" x14ac:dyDescent="0.2">
      <c r="F75">
        <v>211.871563865778</v>
      </c>
      <c r="G75">
        <v>120.82246631323601</v>
      </c>
      <c r="H75">
        <v>3550.9369657027901</v>
      </c>
      <c r="I75">
        <f t="shared" si="2"/>
        <v>243.90085678599715</v>
      </c>
    </row>
    <row r="76" spans="6:9" x14ac:dyDescent="0.2">
      <c r="F76">
        <v>215.01453909074499</v>
      </c>
      <c r="G76">
        <v>123.77105211469301</v>
      </c>
      <c r="H76">
        <v>3598.8961308154699</v>
      </c>
      <c r="I76">
        <f t="shared" si="2"/>
        <v>248.09378340051884</v>
      </c>
    </row>
    <row r="77" spans="6:9" x14ac:dyDescent="0.2">
      <c r="F77">
        <v>218.114861085299</v>
      </c>
      <c r="G77">
        <v>126.791390697625</v>
      </c>
      <c r="H77">
        <v>3646.8371140243498</v>
      </c>
      <c r="I77">
        <f t="shared" si="2"/>
        <v>252.28981228202034</v>
      </c>
    </row>
    <row r="78" spans="6:9" x14ac:dyDescent="0.2">
      <c r="F78">
        <v>221.17243642915699</v>
      </c>
      <c r="G78">
        <v>129.883391051849</v>
      </c>
      <c r="H78">
        <v>3694.7584707504002</v>
      </c>
      <c r="I78">
        <f t="shared" si="2"/>
        <v>256.48965263171345</v>
      </c>
    </row>
    <row r="79" spans="6:9" x14ac:dyDescent="0.2">
      <c r="F79">
        <v>224.18717299009899</v>
      </c>
      <c r="G79">
        <v>133.04696000783201</v>
      </c>
      <c r="H79">
        <v>3742.6587570059801</v>
      </c>
      <c r="I79">
        <f t="shared" si="2"/>
        <v>260.6940392502641</v>
      </c>
    </row>
    <row r="80" spans="6:9" x14ac:dyDescent="0.2">
      <c r="F80">
        <v>227.15897992674201</v>
      </c>
      <c r="G80">
        <v>136.28200223950901</v>
      </c>
      <c r="H80">
        <v>3790.53652943836</v>
      </c>
      <c r="I80">
        <f t="shared" si="2"/>
        <v>264.90373024132282</v>
      </c>
    </row>
    <row r="81" spans="6:9" x14ac:dyDescent="0.2">
      <c r="F81">
        <v>230.087767691278</v>
      </c>
      <c r="G81">
        <v>139.588420267148</v>
      </c>
      <c r="H81">
        <v>3838.3903453732</v>
      </c>
      <c r="I81">
        <f t="shared" si="2"/>
        <v>269.11950489296282</v>
      </c>
    </row>
    <row r="82" spans="6:9" x14ac:dyDescent="0.2">
      <c r="F82">
        <v>232.97344803217001</v>
      </c>
      <c r="G82">
        <v>142.96611446028899</v>
      </c>
      <c r="H82">
        <v>3886.21876285802</v>
      </c>
      <c r="I82">
        <f t="shared" si="2"/>
        <v>273.34216171653924</v>
      </c>
    </row>
    <row r="83" spans="6:9" x14ac:dyDescent="0.2">
      <c r="F83">
        <v>235.87154133851001</v>
      </c>
      <c r="G83">
        <v>146.332946832354</v>
      </c>
      <c r="H83">
        <v>3934.0472857642299</v>
      </c>
      <c r="I83">
        <f t="shared" si="2"/>
        <v>277.57650358422808</v>
      </c>
    </row>
    <row r="84" spans="6:9" x14ac:dyDescent="0.2">
      <c r="F84">
        <v>238.83751469035599</v>
      </c>
      <c r="G84">
        <v>149.60671900780301</v>
      </c>
      <c r="H84">
        <v>3981.90054932358</v>
      </c>
      <c r="I84">
        <f t="shared" si="2"/>
        <v>281.82535158453322</v>
      </c>
    </row>
    <row r="85" spans="6:9" x14ac:dyDescent="0.2">
      <c r="F85">
        <v>241.87119792710999</v>
      </c>
      <c r="G85">
        <v>152.787243167338</v>
      </c>
      <c r="H85">
        <v>4029.77580815069</v>
      </c>
      <c r="I85">
        <f t="shared" si="2"/>
        <v>286.08673171150474</v>
      </c>
    </row>
    <row r="86" spans="6:9" x14ac:dyDescent="0.2">
      <c r="F86">
        <v>244.972417003598</v>
      </c>
      <c r="G86">
        <v>155.874336841386</v>
      </c>
      <c r="H86">
        <v>4077.67031559826</v>
      </c>
      <c r="I86">
        <f t="shared" si="2"/>
        <v>290.35890545724021</v>
      </c>
    </row>
    <row r="87" spans="6:9" x14ac:dyDescent="0.2">
      <c r="F87">
        <v>248.14099400005</v>
      </c>
      <c r="G87">
        <v>158.86782292056699</v>
      </c>
      <c r="H87">
        <v>4125.5813239147101</v>
      </c>
      <c r="I87">
        <f t="shared" si="2"/>
        <v>294.64035375836335</v>
      </c>
    </row>
    <row r="88" spans="6:9" x14ac:dyDescent="0.2">
      <c r="F88">
        <v>251.37674713231399</v>
      </c>
      <c r="G88">
        <v>161.767529665853</v>
      </c>
      <c r="H88">
        <v>4173.5060844017898</v>
      </c>
      <c r="I88">
        <f t="shared" si="2"/>
        <v>298.92976207299262</v>
      </c>
    </row>
    <row r="89" spans="6:9" x14ac:dyDescent="0.2">
      <c r="F89">
        <v>254.67949076228001</v>
      </c>
      <c r="G89">
        <v>164.57329071842199</v>
      </c>
      <c r="H89">
        <v>4221.4418475722396</v>
      </c>
      <c r="I89">
        <f t="shared" si="2"/>
        <v>303.22600652454679</v>
      </c>
    </row>
    <row r="90" spans="6:9" x14ac:dyDescent="0.2">
      <c r="F90">
        <v>258.049035408534</v>
      </c>
      <c r="G90">
        <v>167.28494510920399</v>
      </c>
      <c r="H90">
        <v>4269.3858633076197</v>
      </c>
      <c r="I90">
        <f t="shared" si="2"/>
        <v>307.52814104641584</v>
      </c>
    </row>
    <row r="91" spans="6:9" x14ac:dyDescent="0.2">
      <c r="F91">
        <v>261.485187757223</v>
      </c>
      <c r="G91">
        <v>169.90233726810999</v>
      </c>
      <c r="H91">
        <v>4317.3353810159797</v>
      </c>
      <c r="I91">
        <f t="shared" si="2"/>
        <v>311.83538546097805</v>
      </c>
    </row>
    <row r="92" spans="6:9" x14ac:dyDescent="0.2">
      <c r="F92">
        <v>264.98775067315302</v>
      </c>
      <c r="G92">
        <v>172.425317032967</v>
      </c>
      <c r="H92">
        <v>4365.2876497897596</v>
      </c>
      <c r="I92">
        <f t="shared" si="2"/>
        <v>316.14711442734426</v>
      </c>
    </row>
    <row r="93" spans="6:9" x14ac:dyDescent="0.2">
      <c r="F93">
        <v>268.556523211095</v>
      </c>
      <c r="G93">
        <v>174.85373965812099</v>
      </c>
      <c r="H93">
        <v>4413.2399185635304</v>
      </c>
      <c r="I93">
        <f t="shared" si="2"/>
        <v>320.46284719396311</v>
      </c>
    </row>
    <row r="94" spans="6:9" x14ac:dyDescent="0.2">
      <c r="F94">
        <v>272.19130062731</v>
      </c>
      <c r="G94">
        <v>177.18746582275199</v>
      </c>
      <c r="H94">
        <v>4461.1894362718904</v>
      </c>
      <c r="I94">
        <f t="shared" si="2"/>
        <v>324.78223809481261</v>
      </c>
    </row>
    <row r="95" spans="6:9" x14ac:dyDescent="0.2">
      <c r="F95">
        <v>275.89187439130302</v>
      </c>
      <c r="G95">
        <v>179.42636163885999</v>
      </c>
      <c r="H95">
        <v>4509.1334520072696</v>
      </c>
      <c r="I95">
        <f t="shared" si="2"/>
        <v>329.10506773081676</v>
      </c>
    </row>
    <row r="96" spans="6:9" x14ac:dyDescent="0.2">
      <c r="F96">
        <v>279.65803219778002</v>
      </c>
      <c r="G96">
        <v>181.57029865895001</v>
      </c>
      <c r="H96">
        <v>4557.0692151777303</v>
      </c>
      <c r="I96">
        <f t="shared" si="2"/>
        <v>333.43123478137869</v>
      </c>
    </row>
    <row r="97" spans="6:9" x14ac:dyDescent="0.2">
      <c r="F97">
        <v>283.48955797883201</v>
      </c>
      <c r="G97">
        <v>183.61915388339801</v>
      </c>
      <c r="H97">
        <v>4604.9939756648</v>
      </c>
      <c r="I97">
        <f t="shared" si="2"/>
        <v>337.76074839431618</v>
      </c>
    </row>
    <row r="98" spans="6:9" x14ac:dyDescent="0.2">
      <c r="F98">
        <v>287.38623191632797</v>
      </c>
      <c r="G98">
        <v>185.57280976751099</v>
      </c>
      <c r="H98">
        <v>4652.9049839812496</v>
      </c>
      <c r="I98">
        <f t="shared" si="2"/>
        <v>342.09372110588976</v>
      </c>
    </row>
    <row r="99" spans="6:9" x14ac:dyDescent="0.2">
      <c r="F99">
        <v>291.34783045453099</v>
      </c>
      <c r="G99">
        <v>187.43115422826901</v>
      </c>
      <c r="H99">
        <v>4700.7994914288302</v>
      </c>
      <c r="I99">
        <f t="shared" si="2"/>
        <v>346.43036224601229</v>
      </c>
    </row>
    <row r="100" spans="6:9" x14ac:dyDescent="0.2">
      <c r="F100">
        <v>295.37412631291602</v>
      </c>
      <c r="G100">
        <v>189.19408065075399</v>
      </c>
      <c r="H100">
        <v>4748.6747502559301</v>
      </c>
      <c r="I100">
        <f t="shared" si="2"/>
        <v>350.7709717870087</v>
      </c>
    </row>
    <row r="101" spans="6:9" x14ac:dyDescent="0.2">
      <c r="F101">
        <v>299.46488849921798</v>
      </c>
      <c r="G101">
        <v>190.861487894269</v>
      </c>
      <c r="H101">
        <v>4796.5280138152802</v>
      </c>
      <c r="I101">
        <f t="shared" si="2"/>
        <v>355.11593459751032</v>
      </c>
    </row>
    <row r="102" spans="6:9" x14ac:dyDescent="0.2">
      <c r="F102">
        <v>303.61988232267697</v>
      </c>
      <c r="G102">
        <v>192.43328029813901</v>
      </c>
      <c r="H102">
        <v>4844.3565367214896</v>
      </c>
      <c r="I102">
        <f t="shared" si="2"/>
        <v>359.46571506603846</v>
      </c>
    </row>
    <row r="103" spans="6:9" x14ac:dyDescent="0.2">
      <c r="F103">
        <v>307.79883466884502</v>
      </c>
      <c r="G103">
        <v>193.97488817570999</v>
      </c>
      <c r="H103">
        <v>4892.1732758173603</v>
      </c>
      <c r="I103">
        <f t="shared" si="2"/>
        <v>363.82190679820008</v>
      </c>
    </row>
    <row r="104" spans="6:9" x14ac:dyDescent="0.2">
      <c r="F104">
        <v>311.96161265122799</v>
      </c>
      <c r="G104">
        <v>195.55179615885299</v>
      </c>
      <c r="H104">
        <v>4939.9928104697601</v>
      </c>
      <c r="I104">
        <f t="shared" si="2"/>
        <v>368.18548687979052</v>
      </c>
    </row>
    <row r="105" spans="6:9" x14ac:dyDescent="0.2">
      <c r="F105">
        <v>316.10818923399199</v>
      </c>
      <c r="G105">
        <v>197.163994006086</v>
      </c>
      <c r="H105">
        <v>4987.8148301070296</v>
      </c>
      <c r="I105">
        <f t="shared" si="2"/>
        <v>372.55607340805113</v>
      </c>
    </row>
    <row r="106" spans="6:9" x14ac:dyDescent="0.2">
      <c r="F106">
        <v>320.23853748652999</v>
      </c>
      <c r="G106">
        <v>198.81147124673001</v>
      </c>
      <c r="H106">
        <v>5035.6390241413701</v>
      </c>
      <c r="I106">
        <f t="shared" si="2"/>
        <v>376.93331239199466</v>
      </c>
    </row>
    <row r="107" spans="6:9" x14ac:dyDescent="0.2">
      <c r="F107">
        <v>324.35263058363</v>
      </c>
      <c r="G107">
        <v>200.49421718098</v>
      </c>
      <c r="H107">
        <v>5083.4650819708504</v>
      </c>
      <c r="I107">
        <f t="shared" si="2"/>
        <v>381.31687621915546</v>
      </c>
    </row>
    <row r="108" spans="6:9" x14ac:dyDescent="0.2">
      <c r="F108">
        <v>328.45044180565202</v>
      </c>
      <c r="G108">
        <v>202.21222087997</v>
      </c>
      <c r="H108">
        <v>5131.2926929814403</v>
      </c>
      <c r="I108">
        <f t="shared" si="2"/>
        <v>385.70646221646035</v>
      </c>
    </row>
    <row r="109" spans="6:9" x14ac:dyDescent="0.2">
      <c r="F109">
        <v>332.531944538701</v>
      </c>
      <c r="G109">
        <v>203.96547118584999</v>
      </c>
      <c r="H109">
        <v>5179.1215465490304</v>
      </c>
      <c r="I109">
        <f t="shared" si="2"/>
        <v>390.10179129908585</v>
      </c>
    </row>
    <row r="110" spans="6:9" x14ac:dyDescent="0.2">
      <c r="F110">
        <v>336.59711227480102</v>
      </c>
      <c r="G110">
        <v>205.75395671185299</v>
      </c>
      <c r="H110">
        <v>5226.9513320414198</v>
      </c>
      <c r="I110">
        <f t="shared" si="2"/>
        <v>394.50260670155029</v>
      </c>
    </row>
    <row r="111" spans="6:9" x14ac:dyDescent="0.2">
      <c r="F111">
        <v>340.645918612066</v>
      </c>
      <c r="G111">
        <v>207.577665842372</v>
      </c>
      <c r="H111">
        <v>5274.7817388203803</v>
      </c>
      <c r="I111">
        <f t="shared" si="2"/>
        <v>398.90867278567129</v>
      </c>
    </row>
    <row r="112" spans="6:9" x14ac:dyDescent="0.2">
      <c r="F112">
        <v>344.678337254871</v>
      </c>
      <c r="G112">
        <v>209.436586733035</v>
      </c>
      <c r="H112">
        <v>5322.6124562436398</v>
      </c>
      <c r="I112">
        <f t="shared" si="2"/>
        <v>403.31977392035549</v>
      </c>
    </row>
    <row r="113" spans="6:9" x14ac:dyDescent="0.2">
      <c r="F113">
        <v>348.69434201402601</v>
      </c>
      <c r="G113">
        <v>211.33070731078001</v>
      </c>
      <c r="H113">
        <v>5370.4431736668903</v>
      </c>
      <c r="I113">
        <f t="shared" si="2"/>
        <v>407.73571342852603</v>
      </c>
    </row>
    <row r="114" spans="6:9" x14ac:dyDescent="0.2">
      <c r="F114">
        <v>352.69390680693999</v>
      </c>
      <c r="G114">
        <v>213.260015273937</v>
      </c>
      <c r="H114">
        <v>5418.2735804458498</v>
      </c>
      <c r="I114">
        <f t="shared" si="2"/>
        <v>412.15631259678935</v>
      </c>
    </row>
    <row r="115" spans="6:9" x14ac:dyDescent="0.2">
      <c r="F115">
        <v>356.67700565779597</v>
      </c>
      <c r="G115">
        <v>215.224498092305</v>
      </c>
      <c r="H115">
        <v>5466.1033659382401</v>
      </c>
      <c r="I115">
        <f t="shared" si="2"/>
        <v>416.58140974375709</v>
      </c>
    </row>
    <row r="116" spans="6:9" x14ac:dyDescent="0.2">
      <c r="F116">
        <v>360.643612697717</v>
      </c>
      <c r="G116">
        <v>217.22414300723301</v>
      </c>
      <c r="H116">
        <v>5513.9322195058303</v>
      </c>
      <c r="I116">
        <f t="shared" si="2"/>
        <v>421.01085934318576</v>
      </c>
    </row>
    <row r="117" spans="6:9" x14ac:dyDescent="0.2">
      <c r="F117">
        <v>364.59370216493699</v>
      </c>
      <c r="G117">
        <v>219.25893703170701</v>
      </c>
      <c r="H117">
        <v>5561.7598305164202</v>
      </c>
      <c r="I117">
        <f t="shared" si="2"/>
        <v>425.44453119837942</v>
      </c>
    </row>
    <row r="118" spans="6:9" x14ac:dyDescent="0.2">
      <c r="F118">
        <v>368.52724840496199</v>
      </c>
      <c r="G118">
        <v>221.32886695042799</v>
      </c>
      <c r="H118">
        <v>5609.5858883458995</v>
      </c>
      <c r="I118">
        <f t="shared" si="2"/>
        <v>429.88230966450902</v>
      </c>
    </row>
    <row r="119" spans="6:9" x14ac:dyDescent="0.2">
      <c r="F119">
        <v>372.44422587074502</v>
      </c>
      <c r="G119">
        <v>223.43391931990399</v>
      </c>
      <c r="H119">
        <v>5657.4100823802401</v>
      </c>
      <c r="I119">
        <f t="shared" si="2"/>
        <v>434.3240929157763</v>
      </c>
    </row>
    <row r="120" spans="6:9" x14ac:dyDescent="0.2">
      <c r="F120">
        <v>376.344609122843</v>
      </c>
      <c r="G120">
        <v>225.574080468533</v>
      </c>
      <c r="H120">
        <v>5705.2321020175104</v>
      </c>
      <c r="I120">
        <f t="shared" si="2"/>
        <v>438.76979225449156</v>
      </c>
    </row>
    <row r="121" spans="6:9" x14ac:dyDescent="0.2">
      <c r="F121">
        <v>380.22837282959199</v>
      </c>
      <c r="G121">
        <v>227.74933649669501</v>
      </c>
      <c r="H121">
        <v>5753.0516366699103</v>
      </c>
      <c r="I121">
        <f t="shared" si="2"/>
        <v>443.21933145940739</v>
      </c>
    </row>
    <row r="122" spans="6:9" x14ac:dyDescent="0.2">
      <c r="F122">
        <v>384.09549176726102</v>
      </c>
      <c r="G122">
        <v>229.959673276839</v>
      </c>
      <c r="H122">
        <v>5800.86837576578</v>
      </c>
      <c r="I122">
        <f t="shared" si="2"/>
        <v>447.67264617075347</v>
      </c>
    </row>
    <row r="123" spans="6:9" x14ac:dyDescent="0.2">
      <c r="F123">
        <v>387.95879796315</v>
      </c>
      <c r="G123">
        <v>232.178942416524</v>
      </c>
      <c r="H123">
        <v>5848.6839894798504</v>
      </c>
      <c r="I123">
        <f t="shared" si="2"/>
        <v>452.12729426420145</v>
      </c>
    </row>
    <row r="124" spans="6:9" x14ac:dyDescent="0.2">
      <c r="F124">
        <v>391.831136014788</v>
      </c>
      <c r="G124">
        <v>234.38100265384799</v>
      </c>
      <c r="H124">
        <v>5896.5003031775796</v>
      </c>
      <c r="I124">
        <f t="shared" si="2"/>
        <v>456.58087296300795</v>
      </c>
    </row>
    <row r="125" spans="6:9" x14ac:dyDescent="0.2">
      <c r="F125">
        <v>395.71249962382899</v>
      </c>
      <c r="G125">
        <v>236.56585040716399</v>
      </c>
      <c r="H125">
        <v>5944.3172390858799</v>
      </c>
      <c r="I125">
        <f t="shared" si="2"/>
        <v>461.03338700944812</v>
      </c>
    </row>
    <row r="126" spans="6:9" x14ac:dyDescent="0.2">
      <c r="F126">
        <v>399.60288247724498</v>
      </c>
      <c r="G126">
        <v>238.733482122825</v>
      </c>
      <c r="H126">
        <v>5992.13471943064</v>
      </c>
      <c r="I126">
        <f t="shared" si="2"/>
        <v>465.4848431158764</v>
      </c>
    </row>
    <row r="127" spans="6:9" x14ac:dyDescent="0.2">
      <c r="F127">
        <v>403.502278247341</v>
      </c>
      <c r="G127">
        <v>240.88389427518399</v>
      </c>
      <c r="H127">
        <v>6039.9526664368695</v>
      </c>
      <c r="I127">
        <f t="shared" si="2"/>
        <v>469.93524987169525</v>
      </c>
    </row>
    <row r="128" spans="6:9" x14ac:dyDescent="0.2">
      <c r="F128">
        <v>407.41068059176098</v>
      </c>
      <c r="G128">
        <v>243.01708336660201</v>
      </c>
      <c r="H128">
        <v>6087.77100232881</v>
      </c>
      <c r="I128">
        <f t="shared" si="2"/>
        <v>474.3846176556022</v>
      </c>
    </row>
    <row r="129" spans="6:9" x14ac:dyDescent="0.2">
      <c r="F129">
        <v>411.32808315349899</v>
      </c>
      <c r="G129">
        <v>245.133045927453</v>
      </c>
      <c r="H129">
        <v>6135.5896493300797</v>
      </c>
      <c r="I129">
        <f t="shared" si="2"/>
        <v>478.83295855277402</v>
      </c>
    </row>
    <row r="130" spans="6:9" x14ac:dyDescent="0.2">
      <c r="F130">
        <v>415.25447956091199</v>
      </c>
      <c r="G130">
        <v>247.23177851612999</v>
      </c>
      <c r="H130">
        <v>6183.4085296638004</v>
      </c>
      <c r="I130">
        <f t="shared" si="2"/>
        <v>483.28028627666225</v>
      </c>
    </row>
    <row r="131" spans="6:9" x14ac:dyDescent="0.2">
      <c r="F131">
        <v>419.189863427727</v>
      </c>
      <c r="G131">
        <v>249.31327771905001</v>
      </c>
      <c r="H131">
        <v>6231.2275655526901</v>
      </c>
      <c r="I131">
        <f t="shared" ref="I131:I142" si="3">SQRT(F131^2+G131^2)</f>
        <v>487.72661609509538</v>
      </c>
    </row>
    <row r="132" spans="6:9" x14ac:dyDescent="0.2">
      <c r="F132">
        <v>423.13422835305403</v>
      </c>
      <c r="G132">
        <v>251.37754015066201</v>
      </c>
      <c r="H132">
        <v>6279.0466792192201</v>
      </c>
      <c r="I132">
        <f t="shared" si="3"/>
        <v>492.17196476042005</v>
      </c>
    </row>
    <row r="133" spans="6:9" x14ac:dyDescent="0.2">
      <c r="F133">
        <v>427.08756792139502</v>
      </c>
      <c r="G133">
        <v>253.424562453448</v>
      </c>
      <c r="H133">
        <v>6326.8657928857601</v>
      </c>
      <c r="I133">
        <f t="shared" si="3"/>
        <v>496.61635044341199</v>
      </c>
    </row>
    <row r="134" spans="6:9" x14ac:dyDescent="0.2">
      <c r="F134">
        <v>431.04987570265399</v>
      </c>
      <c r="G134">
        <v>255.45434129793301</v>
      </c>
      <c r="H134">
        <v>6374.6848287746498</v>
      </c>
      <c r="I134">
        <f t="shared" si="3"/>
        <v>501.05979267072939</v>
      </c>
    </row>
    <row r="135" spans="6:9" x14ac:dyDescent="0.2">
      <c r="F135">
        <v>435.02114525215001</v>
      </c>
      <c r="G135">
        <v>257.46687338268703</v>
      </c>
      <c r="H135">
        <v>6422.5037091083605</v>
      </c>
      <c r="I135">
        <f t="shared" si="3"/>
        <v>505.50231226567973</v>
      </c>
    </row>
    <row r="136" spans="6:9" x14ac:dyDescent="0.2">
      <c r="F136">
        <v>439.00137011062401</v>
      </c>
      <c r="G136">
        <v>259.46215543433198</v>
      </c>
      <c r="H136">
        <v>6470.3223561096402</v>
      </c>
      <c r="I136">
        <f t="shared" si="3"/>
        <v>509.94393129209266</v>
      </c>
    </row>
    <row r="137" spans="6:9" x14ac:dyDescent="0.2">
      <c r="F137">
        <v>442.99054380425201</v>
      </c>
      <c r="G137">
        <v>261.44018420754901</v>
      </c>
      <c r="H137">
        <v>6518.1406920015797</v>
      </c>
      <c r="I137">
        <f t="shared" si="3"/>
        <v>514.38467300111506</v>
      </c>
    </row>
    <row r="138" spans="6:9" x14ac:dyDescent="0.2">
      <c r="F138">
        <v>446.98865984465499</v>
      </c>
      <c r="G138">
        <v>263.40095648507901</v>
      </c>
      <c r="H138">
        <v>6565.9586390078002</v>
      </c>
      <c r="I138">
        <f t="shared" si="3"/>
        <v>518.82456178073835</v>
      </c>
    </row>
    <row r="139" spans="6:9" x14ac:dyDescent="0.2">
      <c r="F139">
        <v>450.99571172890802</v>
      </c>
      <c r="G139">
        <v>265.34446907773201</v>
      </c>
      <c r="H139">
        <v>6613.7761193525603</v>
      </c>
      <c r="I139">
        <f t="shared" si="3"/>
        <v>523.26362310790125</v>
      </c>
    </row>
    <row r="140" spans="6:9" x14ac:dyDescent="0.2">
      <c r="F140">
        <v>455.011692939554</v>
      </c>
      <c r="G140">
        <v>267.27071882438901</v>
      </c>
      <c r="H140">
        <v>6661.5930552608597</v>
      </c>
      <c r="I140">
        <f t="shared" si="3"/>
        <v>527.70188350301021</v>
      </c>
    </row>
    <row r="141" spans="6:9" x14ac:dyDescent="0.2">
      <c r="F141">
        <v>459.03659694460998</v>
      </c>
      <c r="G141">
        <v>269.17970259201297</v>
      </c>
      <c r="H141">
        <v>6709.4093689585898</v>
      </c>
      <c r="I141">
        <f t="shared" si="3"/>
        <v>532.1393704867296</v>
      </c>
    </row>
    <row r="142" spans="6:9" x14ac:dyDescent="0.2">
      <c r="F142">
        <v>463.07041719758098</v>
      </c>
      <c r="G142">
        <v>271.07141727564499</v>
      </c>
      <c r="H142">
        <v>6757.2249826726602</v>
      </c>
      <c r="I142">
        <f t="shared" si="3"/>
        <v>536.57611253890957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Minimum Curvature Method</vt:lpstr>
      <vt:lpstr>Adams-Data</vt:lpstr>
      <vt:lpstr>Sawaryn-Data</vt:lpstr>
      <vt:lpstr>SAWARYN-INTERPOLATION</vt:lpstr>
      <vt:lpstr>Example</vt:lpstr>
    </vt:vector>
  </TitlesOfParts>
  <Company>Microsoft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toe</cp:lastModifiedBy>
  <dcterms:created xsi:type="dcterms:W3CDTF">2010-08-15T01:47:04Z</dcterms:created>
  <dcterms:modified xsi:type="dcterms:W3CDTF">2018-09-04T13:56:13Z</dcterms:modified>
</cp:coreProperties>
</file>